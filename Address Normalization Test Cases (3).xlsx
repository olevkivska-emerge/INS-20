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CSV Ex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<sst xmlns="http://schemas.openxmlformats.org/spreadsheetml/2006/main" count="1918" uniqueCount="523">
  <si>
    <t xml:space="preserve">TEST_CASE_ID</t>
  </si>
  <si>
    <t xml:space="preserve">TEST_DESCRIPTION</t>
  </si>
  <si>
    <t xml:space="preserve">EXPECTED_BEHAVIOR</t>
  </si>
  <si>
    <t xml:space="preserve">DATE_PREFIX</t>
  </si>
  <si>
    <t xml:space="preserve">ROW_ID</t>
  </si>
  <si>
    <t xml:space="preserve">EXTERNAL_SHIPMENT_ID</t>
  </si>
  <si>
    <t xml:space="preserve">EXTERNAL_TENDER_ID</t>
  </si>
  <si>
    <t xml:space="preserve">TYPE</t>
  </si>
  <si>
    <t xml:space="preserve">STATUS</t>
  </si>
  <si>
    <t xml:space="preserve">CONTRACT_TYPE</t>
  </si>
  <si>
    <t xml:space="preserve">MODE</t>
  </si>
  <si>
    <t xml:space="preserve">EQUIPMENT_TYPE</t>
  </si>
  <si>
    <t xml:space="preserve">LENGTH_OF_HAUL_VALUE</t>
  </si>
  <si>
    <t xml:space="preserve">LENGTH_OF_HAUL_UNIT</t>
  </si>
  <si>
    <t xml:space="preserve">WEIGHT_VALUE</t>
  </si>
  <si>
    <t xml:space="preserve">WEIGHT_UNIT</t>
  </si>
  <si>
    <t xml:space="preserve">CARRIER_NAME</t>
  </si>
  <si>
    <t xml:space="preserve">CARRIER_EXTERNAL_REFERENCE</t>
  </si>
  <si>
    <t xml:space="preserve">CARRIER_DOT</t>
  </si>
  <si>
    <t xml:space="preserve">CARRIER_SCAC</t>
  </si>
  <si>
    <t xml:space="preserve">CARRIER_DOCKET</t>
  </si>
  <si>
    <t xml:space="preserve">ORIGIN_SEQUENCE_NUMBER</t>
  </si>
  <si>
    <t xml:space="preserve">ORIGIN_STOP_TYPE</t>
  </si>
  <si>
    <t xml:space="preserve">ORIGIN_LOADING_TYPE</t>
  </si>
  <si>
    <t xml:space="preserve">ORIGIN_LOCATION_NAME</t>
  </si>
  <si>
    <t xml:space="preserve">ORIGIN_LOCATION_CODE</t>
  </si>
  <si>
    <t xml:space="preserve">ORIGIN_LOCATION_ADDRESS1</t>
  </si>
  <si>
    <t xml:space="preserve">ORIGIN_LOCATION_ADDRESS2</t>
  </si>
  <si>
    <t xml:space="preserve">ORIGIN_LOCATION_CITY</t>
  </si>
  <si>
    <t xml:space="preserve">ORIGIN_LOCATION_STATE</t>
  </si>
  <si>
    <t xml:space="preserve">ORIGIN_LOCATION_POSTAL_CODE</t>
  </si>
  <si>
    <t xml:space="preserve">ORIGIN_LOCATION_COUNTRY_CODE</t>
  </si>
  <si>
    <t xml:space="preserve">ORIGIN_APPOINTMENT_TYPE</t>
  </si>
  <si>
    <t xml:space="preserve">ORIGIN_APPOINTMENT_SCHEDULED_EARLIEST</t>
  </si>
  <si>
    <t xml:space="preserve">ORIGIN_APPOINTMENT_SCHEDULED_LATEST</t>
  </si>
  <si>
    <t xml:space="preserve">ORIGIN_APPOINTMENT_ORIGINAL_EARLIEST</t>
  </si>
  <si>
    <t xml:space="preserve">ORIGIN_APPOINTMENT_ORIGINAL_LATEST</t>
  </si>
  <si>
    <t xml:space="preserve">ORIGIN_ACTUAL_ARRIVED_AT</t>
  </si>
  <si>
    <t xml:space="preserve">ORIGIN_ACTUAL_DEPARTED_AT</t>
  </si>
  <si>
    <t xml:space="preserve">ORIGIN_NOTES</t>
  </si>
  <si>
    <t xml:space="preserve">DESTINATION_SEQUENCE_NUMBER</t>
  </si>
  <si>
    <t xml:space="preserve">DESTINATION_STOP_TYPE</t>
  </si>
  <si>
    <t xml:space="preserve">DESTINATION_LOADING_TYPE</t>
  </si>
  <si>
    <t xml:space="preserve">DESTINATION_LOCATION_NAME</t>
  </si>
  <si>
    <t xml:space="preserve">DESTINATION_LOCATION_CODE</t>
  </si>
  <si>
    <t xml:space="preserve">DESTINATION_LOCATION_ADDRESS1</t>
  </si>
  <si>
    <t xml:space="preserve">DESTINATION_LOCATION_ADDRESS2</t>
  </si>
  <si>
    <t xml:space="preserve">DESTINATION_LOCATION_CITY</t>
  </si>
  <si>
    <t xml:space="preserve">DESTINATION_LOCATION_STATE</t>
  </si>
  <si>
    <t xml:space="preserve">DESTINATION_LOCATION_POSTAL_CODE</t>
  </si>
  <si>
    <t xml:space="preserve">DESTINATION_LOCATION_COUNTRY_CODE</t>
  </si>
  <si>
    <t xml:space="preserve">DESTINATION_APPOINTMENT_TYPE</t>
  </si>
  <si>
    <t xml:space="preserve">DESTINATION_APPOINTMENT_SCHEDULED_EARLIEST</t>
  </si>
  <si>
    <t xml:space="preserve">DESTINATION_APPOINTMENT_SCHEDULED_LATEST</t>
  </si>
  <si>
    <t xml:space="preserve">DESTINATION_APPOINTMENT_ORIGINAL_EARLIEST</t>
  </si>
  <si>
    <t xml:space="preserve">DESTINATION_APPOINTMENT_ORIGINAL_LATEST</t>
  </si>
  <si>
    <t xml:space="preserve">DESTINATION_ACTUAL_ARRIVED_AT</t>
  </si>
  <si>
    <t xml:space="preserve">DESTINATION_ACTUAL_DEPARTED_AT</t>
  </si>
  <si>
    <t xml:space="preserve">DESTINATION_NOTES</t>
  </si>
  <si>
    <t xml:space="preserve">TC01</t>
  </si>
  <si>
    <t xml:space="preserve">New Location - Clean Address</t>
  </si>
  <si>
    <t xml:space="preserve">Creates new NormalizedLocation with Google Places normalized data, lat/long populated</t>
  </si>
  <si>
    <t xml:space="preserve">20251229</t>
  </si>
  <si>
    <t xml:space="preserve">SHIPMENT</t>
  </si>
  <si>
    <t xml:space="preserve">COMPLETED</t>
  </si>
  <si>
    <t xml:space="preserve">SPOT</t>
  </si>
  <si>
    <t xml:space="preserve">TRUCKLOAD</t>
  </si>
  <si>
    <t xml:space="preserve">DRY_VAN</t>
  </si>
  <si>
    <t xml:space="preserve">MILES</t>
  </si>
  <si>
    <t xml:space="preserve">LB</t>
  </si>
  <si>
    <t xml:space="preserve">Test Carrier 1 Inc</t>
  </si>
  <si>
    <t xml:space="preserve">CAR1</t>
  </si>
  <si>
    <t xml:space="preserve">PICKUP</t>
  </si>
  <si>
    <t xml:space="preserve">LIVE</t>
  </si>
  <si>
    <t xml:space="preserve">Amazon OAK4</t>
  </si>
  <si>
    <t xml:space="preserve">OAK4</t>
  </si>
  <si>
    <t xml:space="preserve">1555 N. Chrisman Road</t>
  </si>
  <si>
    <t xml:space="preserve">Tracy</t>
  </si>
  <si>
    <t xml:space="preserve">CA</t>
  </si>
  <si>
    <t xml:space="preserve">95304</t>
  </si>
  <si>
    <t xml:space="preserve">US</t>
  </si>
  <si>
    <t xml:space="preserve">APPOINTMENT</t>
  </si>
  <si>
    <t xml:space="preserve">2025-01-15T08:00:00Z</t>
  </si>
  <si>
    <t xml:space="preserve">2025-01-15T10:00:00Z</t>
  </si>
  <si>
    <t xml:space="preserve">2025-01-15T08:30:00Z</t>
  </si>
  <si>
    <t xml:space="preserve">DELIVERY</t>
  </si>
  <si>
    <t xml:space="preserve">Target DC Columbus</t>
  </si>
  <si>
    <t xml:space="preserve">TGT-COL</t>
  </si>
  <si>
    <t xml:space="preserve">1501 Gateway Cir</t>
  </si>
  <si>
    <t xml:space="preserve">Grove City</t>
  </si>
  <si>
    <t xml:space="preserve">OH</t>
  </si>
  <si>
    <t xml:space="preserve">43123</t>
  </si>
  <si>
    <t xml:space="preserve">2025-01-17T10:00:00Z</t>
  </si>
  <si>
    <t xml:space="preserve">2025-01-17T14:00:00Z</t>
  </si>
  <si>
    <t xml:space="preserve">2025-01-17T10:30:00Z</t>
  </si>
  <si>
    <t xml:space="preserve">TC02</t>
  </si>
  <si>
    <t xml:space="preserve">Dedup - Exact Same Address</t>
  </si>
  <si>
    <t xml:space="preserve">Reuses existing NormalizedLocation from TC01 origin (Amazon OAK4)</t>
  </si>
  <si>
    <t xml:space="preserve">Test Carrier 2 Inc</t>
  </si>
  <si>
    <t xml:space="preserve">CAR2</t>
  </si>
  <si>
    <t xml:space="preserve">Walmart DC Phoenix</t>
  </si>
  <si>
    <t xml:space="preserve">WM-PHX</t>
  </si>
  <si>
    <t xml:space="preserve">5765 W Lower Buckeye Rd</t>
  </si>
  <si>
    <t xml:space="preserve">Phoenix</t>
  </si>
  <si>
    <t xml:space="preserve">AZ</t>
  </si>
  <si>
    <t xml:space="preserve">85043</t>
  </si>
  <si>
    <t xml:space="preserve">TC03</t>
  </si>
  <si>
    <t xml:space="preserve">Variation: "Road" vs "Rd"</t>
  </si>
  <si>
    <t xml:space="preserve">Google Places normalizes both to same format - should match TC01 origin</t>
  </si>
  <si>
    <t xml:space="preserve">Tracy Warehouse</t>
  </si>
  <si>
    <t xml:space="preserve">TRC-WH</t>
  </si>
  <si>
    <t xml:space="preserve">1555 N. Chrisman Rd</t>
  </si>
  <si>
    <t xml:space="preserve">Phoenix Hub</t>
  </si>
  <si>
    <t xml:space="preserve">PHX-HUB</t>
  </si>
  <si>
    <t xml:space="preserve">2700 S 24th St</t>
  </si>
  <si>
    <t xml:space="preserve">85034</t>
  </si>
  <si>
    <t xml:space="preserve">TC04</t>
  </si>
  <si>
    <t xml:space="preserve">Variation: "Road" spelled out fully</t>
  </si>
  <si>
    <t xml:space="preserve">Should match TC01 - "Road" normalized same as "Rd"</t>
  </si>
  <si>
    <t xml:space="preserve">Chrisman Road Facility</t>
  </si>
  <si>
    <t xml:space="preserve">CRF-001</t>
  </si>
  <si>
    <t xml:space="preserve">1555 North Chrisman Road</t>
  </si>
  <si>
    <t xml:space="preserve">Dallas Terminal</t>
  </si>
  <si>
    <t xml:space="preserve">DAL-TRM</t>
  </si>
  <si>
    <t xml:space="preserve">8250 N Stemmons Fwy</t>
  </si>
  <si>
    <t xml:space="preserve">Dallas</t>
  </si>
  <si>
    <t xml:space="preserve">TX</t>
  </si>
  <si>
    <t xml:space="preserve">75247</t>
  </si>
  <si>
    <t xml:space="preserve">TC05</t>
  </si>
  <si>
    <t xml:space="preserve">New Location - Avenue address (baseline)</t>
  </si>
  <si>
    <t xml:space="preserve">Creates new NormalizedLocation for 275 Omar Avenue</t>
  </si>
  <si>
    <t xml:space="preserve">Amazon EWR6</t>
  </si>
  <si>
    <t xml:space="preserve">EWR6</t>
  </si>
  <si>
    <t xml:space="preserve">275 Omar Avenue</t>
  </si>
  <si>
    <t xml:space="preserve">Avenel</t>
  </si>
  <si>
    <t xml:space="preserve">NJ</t>
  </si>
  <si>
    <t xml:space="preserve">07001</t>
  </si>
  <si>
    <t xml:space="preserve">Memphis Sort</t>
  </si>
  <si>
    <t xml:space="preserve">MEM-SRT</t>
  </si>
  <si>
    <t xml:space="preserve">2777 Pilot Dr</t>
  </si>
  <si>
    <t xml:space="preserve">Memphis</t>
  </si>
  <si>
    <t xml:space="preserve">TN</t>
  </si>
  <si>
    <t xml:space="preserve">38118</t>
  </si>
  <si>
    <t xml:space="preserve">TC06</t>
  </si>
  <si>
    <t xml:space="preserve">Variation: "Ave" vs "Avenue"</t>
  </si>
  <si>
    <t xml:space="preserve">Should match TC05 origin - "Ave" normalized to "Avenue"</t>
  </si>
  <si>
    <t xml:space="preserve">Avenel Warehouse</t>
  </si>
  <si>
    <t xml:space="preserve">AVN-WH</t>
  </si>
  <si>
    <t xml:space="preserve">275 Omar Ave</t>
  </si>
  <si>
    <t xml:space="preserve">Nashville Hub</t>
  </si>
  <si>
    <t xml:space="preserve">BNA-HUB</t>
  </si>
  <si>
    <t xml:space="preserve">50 Airways Blvd</t>
  </si>
  <si>
    <t xml:space="preserve">Nashville</t>
  </si>
  <si>
    <t xml:space="preserve">37217</t>
  </si>
  <si>
    <t xml:space="preserve">TC07</t>
  </si>
  <si>
    <t xml:space="preserve">Variation: "Av" vs "Avenue"</t>
  </si>
  <si>
    <t xml:space="preserve">Should match TC05 origin - "Av" normalized to "Avenue"</t>
  </si>
  <si>
    <t xml:space="preserve">NJ Distribution</t>
  </si>
  <si>
    <t xml:space="preserve">NJ-DIST</t>
  </si>
  <si>
    <t xml:space="preserve">275 Omar Av</t>
  </si>
  <si>
    <t xml:space="preserve">Atlanta DC</t>
  </si>
  <si>
    <t xml:space="preserve">ATL-DC</t>
  </si>
  <si>
    <t xml:space="preserve">4100 Wendell Dr SW</t>
  </si>
  <si>
    <t xml:space="preserve">Atlanta</t>
  </si>
  <si>
    <t xml:space="preserve">GA</t>
  </si>
  <si>
    <t xml:space="preserve">30336</t>
  </si>
  <si>
    <t xml:space="preserve">TC08</t>
  </si>
  <si>
    <t xml:space="preserve">New Location - Street address (baseline)</t>
  </si>
  <si>
    <t xml:space="preserve">Creates new NormalizedLocation for 38811 Cherry Street</t>
  </si>
  <si>
    <t xml:space="preserve">Amazon OAK5</t>
  </si>
  <si>
    <t xml:space="preserve">OAK5</t>
  </si>
  <si>
    <t xml:space="preserve">38811 Cherry Street</t>
  </si>
  <si>
    <t xml:space="preserve">Newark</t>
  </si>
  <si>
    <t xml:space="preserve">94560</t>
  </si>
  <si>
    <t xml:space="preserve">Houston Terminal</t>
  </si>
  <si>
    <t xml:space="preserve">HOU-TRM</t>
  </si>
  <si>
    <t xml:space="preserve">14444 Will Clayton Pkwy</t>
  </si>
  <si>
    <t xml:space="preserve">Houston</t>
  </si>
  <si>
    <t xml:space="preserve">77032</t>
  </si>
  <si>
    <t xml:space="preserve">TC09</t>
  </si>
  <si>
    <t xml:space="preserve">Variation: "St" vs "Street"</t>
  </si>
  <si>
    <t xml:space="preserve">Should match TC08 origin - "St" normalized to "Street"</t>
  </si>
  <si>
    <t xml:space="preserve">Newark Fulfillment</t>
  </si>
  <si>
    <t xml:space="preserve">NWK-FC</t>
  </si>
  <si>
    <t xml:space="preserve">38811 Cherry St</t>
  </si>
  <si>
    <t xml:space="preserve">Orlando DC</t>
  </si>
  <si>
    <t xml:space="preserve">ORL-DC</t>
  </si>
  <si>
    <t xml:space="preserve">12340 Boggy Creek Rd</t>
  </si>
  <si>
    <t xml:space="preserve">Orlando</t>
  </si>
  <si>
    <t xml:space="preserve">FL</t>
  </si>
  <si>
    <t xml:space="preserve">32824</t>
  </si>
  <si>
    <t xml:space="preserve">TC10</t>
  </si>
  <si>
    <t xml:space="preserve">New Location - Drive address (baseline)</t>
  </si>
  <si>
    <t xml:space="preserve">Creates new NormalizedLocation for 255 Park Center Drive</t>
  </si>
  <si>
    <t xml:space="preserve">Amazon OAK3</t>
  </si>
  <si>
    <t xml:space="preserve">OAK3</t>
  </si>
  <si>
    <t xml:space="preserve">255 Park Center Drive</t>
  </si>
  <si>
    <t xml:space="preserve">Patterson</t>
  </si>
  <si>
    <t xml:space="preserve">95363</t>
  </si>
  <si>
    <t xml:space="preserve">Chicago Hub</t>
  </si>
  <si>
    <t xml:space="preserve">CHI-HUB</t>
  </si>
  <si>
    <t xml:space="preserve">1650 Glenn Curtiss St</t>
  </si>
  <si>
    <t xml:space="preserve">Elk Grove Village</t>
  </si>
  <si>
    <t xml:space="preserve">IL</t>
  </si>
  <si>
    <t xml:space="preserve">60007</t>
  </si>
  <si>
    <t xml:space="preserve">TC11</t>
  </si>
  <si>
    <t xml:space="preserve">Variation: "Dr" vs "Drive"</t>
  </si>
  <si>
    <t xml:space="preserve">Should match TC10 origin - "Dr" normalized to "Drive"</t>
  </si>
  <si>
    <t xml:space="preserve">Patterson DC</t>
  </si>
  <si>
    <t xml:space="preserve">PAT-DC</t>
  </si>
  <si>
    <t xml:space="preserve">255 Park Center Dr</t>
  </si>
  <si>
    <t xml:space="preserve">Denver Crossdock</t>
  </si>
  <si>
    <t xml:space="preserve">DEN-CD</t>
  </si>
  <si>
    <t xml:space="preserve">18901 E 39th Ave</t>
  </si>
  <si>
    <t xml:space="preserve">Denver</t>
  </si>
  <si>
    <t xml:space="preserve">CO</t>
  </si>
  <si>
    <t xml:space="preserve">80249</t>
  </si>
  <si>
    <t xml:space="preserve">TC12</t>
  </si>
  <si>
    <t xml:space="preserve">New Location - Boulevard address (baseline)</t>
  </si>
  <si>
    <t xml:space="preserve">Creates new NormalizedLocation for 50 Airways Blvd</t>
  </si>
  <si>
    <t xml:space="preserve">Amazon BNA5</t>
  </si>
  <si>
    <t xml:space="preserve">BNA5</t>
  </si>
  <si>
    <t xml:space="preserve">Jacksonville FC</t>
  </si>
  <si>
    <t xml:space="preserve">JAX-FC</t>
  </si>
  <si>
    <t xml:space="preserve">12900 Pecan Park Road</t>
  </si>
  <si>
    <t xml:space="preserve">Jacksonville</t>
  </si>
  <si>
    <t xml:space="preserve">32218</t>
  </si>
  <si>
    <t xml:space="preserve">TC13</t>
  </si>
  <si>
    <t xml:space="preserve">Variation: "Boulevard" vs "Blvd"</t>
  </si>
  <si>
    <t xml:space="preserve">Should match TC12 origin - "Boulevard" normalized to "Blvd"</t>
  </si>
  <si>
    <t xml:space="preserve">Nashville Airport Warehouse</t>
  </si>
  <si>
    <t xml:space="preserve">NAW-001</t>
  </si>
  <si>
    <t xml:space="preserve">50 Airways Boulevard</t>
  </si>
  <si>
    <t xml:space="preserve">Miami Distribution</t>
  </si>
  <si>
    <t xml:space="preserve">MIA-DC</t>
  </si>
  <si>
    <t xml:space="preserve">1900 NW 132nd Place</t>
  </si>
  <si>
    <t xml:space="preserve">Doral</t>
  </si>
  <si>
    <t xml:space="preserve">33182</t>
  </si>
  <si>
    <t xml:space="preserve">TC14</t>
  </si>
  <si>
    <t xml:space="preserve">New Location - Parkway address (baseline)</t>
  </si>
  <si>
    <t xml:space="preserve">Creates new NormalizedLocation for 7469 Kingspointe Parkway</t>
  </si>
  <si>
    <t xml:space="preserve">Amazon SFL1</t>
  </si>
  <si>
    <t xml:space="preserve">SFL1</t>
  </si>
  <si>
    <t xml:space="preserve">7469 Kingspointe Parkway</t>
  </si>
  <si>
    <t xml:space="preserve">32819</t>
  </si>
  <si>
    <t xml:space="preserve">Tucson DC</t>
  </si>
  <si>
    <t xml:space="preserve">TUS-DC</t>
  </si>
  <si>
    <t xml:space="preserve">7200 Commerce Blvd</t>
  </si>
  <si>
    <t xml:space="preserve">Tucson</t>
  </si>
  <si>
    <t xml:space="preserve">85713</t>
  </si>
  <si>
    <t xml:space="preserve">TC15</t>
  </si>
  <si>
    <t xml:space="preserve">Variation: "Pkwy" vs "Parkway"</t>
  </si>
  <si>
    <t xml:space="preserve">Should match TC14 origin - "Pkwy" normalized to "Parkway"</t>
  </si>
  <si>
    <t xml:space="preserve">Orlando Fulfillment</t>
  </si>
  <si>
    <t xml:space="preserve">ORL-FC</t>
  </si>
  <si>
    <t xml:space="preserve">7469 Kingspointe Pkwy</t>
  </si>
  <si>
    <t xml:space="preserve">Salt Lake City Hub</t>
  </si>
  <si>
    <t xml:space="preserve">SLC-HUB</t>
  </si>
  <si>
    <t xml:space="preserve">5775 W Harold Gatty Dr</t>
  </si>
  <si>
    <t xml:space="preserve">Salt Lake City</t>
  </si>
  <si>
    <t xml:space="preserve">UT</t>
  </si>
  <si>
    <t xml:space="preserve">84116</t>
  </si>
  <si>
    <t xml:space="preserve">TC16</t>
  </si>
  <si>
    <t xml:space="preserve">New Location - Lane address (baseline)</t>
  </si>
  <si>
    <t xml:space="preserve">Creates new NormalizedLocation for 1600 Creswell Lane</t>
  </si>
  <si>
    <t xml:space="preserve">Amazon LFT1</t>
  </si>
  <si>
    <t xml:space="preserve">LFT1</t>
  </si>
  <si>
    <t xml:space="preserve">1600 Creswell Lane</t>
  </si>
  <si>
    <t xml:space="preserve">Opelousas</t>
  </si>
  <si>
    <t xml:space="preserve">LA</t>
  </si>
  <si>
    <t xml:space="preserve">70570</t>
  </si>
  <si>
    <t xml:space="preserve">Kansas City DC</t>
  </si>
  <si>
    <t xml:space="preserve">KC-DC</t>
  </si>
  <si>
    <t xml:space="preserve">16851 W 113th St</t>
  </si>
  <si>
    <t xml:space="preserve">Lenexa</t>
  </si>
  <si>
    <t xml:space="preserve">KS</t>
  </si>
  <si>
    <t xml:space="preserve">66219</t>
  </si>
  <si>
    <t xml:space="preserve">TC17</t>
  </si>
  <si>
    <t xml:space="preserve">Variation: "Ln" vs "Lane"</t>
  </si>
  <si>
    <t xml:space="preserve">Should match TC16 origin - "Ln" normalized to "Lane"</t>
  </si>
  <si>
    <t xml:space="preserve">Louisiana Warehouse</t>
  </si>
  <si>
    <t xml:space="preserve">LA-WH</t>
  </si>
  <si>
    <t xml:space="preserve">1600 Creswell Ln</t>
  </si>
  <si>
    <t xml:space="preserve">Louisville Hub</t>
  </si>
  <si>
    <t xml:space="preserve">LOU-HUB</t>
  </si>
  <si>
    <t xml:space="preserve">3901 Produce Rd</t>
  </si>
  <si>
    <t xml:space="preserve">Louisville</t>
  </si>
  <si>
    <t xml:space="preserve">KY</t>
  </si>
  <si>
    <t xml:space="preserve">40213</t>
  </si>
  <si>
    <t xml:space="preserve">TC18</t>
  </si>
  <si>
    <t xml:space="preserve">New Location - Circle address (baseline)</t>
  </si>
  <si>
    <t xml:space="preserve">Creates new NormalizedLocation for 1501 Gateway Cir</t>
  </si>
  <si>
    <t xml:space="preserve">Target Columbus</t>
  </si>
  <si>
    <t xml:space="preserve">TGT-CMH</t>
  </si>
  <si>
    <t xml:space="preserve">Reno Distribution</t>
  </si>
  <si>
    <t xml:space="preserve">RNO-DC</t>
  </si>
  <si>
    <t xml:space="preserve">1550 E Newlands Dr</t>
  </si>
  <si>
    <t xml:space="preserve">Fernley</t>
  </si>
  <si>
    <t xml:space="preserve">NV</t>
  </si>
  <si>
    <t xml:space="preserve">89408</t>
  </si>
  <si>
    <t xml:space="preserve">TC19</t>
  </si>
  <si>
    <t xml:space="preserve">Variation: "Circle" vs "Cir"</t>
  </si>
  <si>
    <t xml:space="preserve">Should match TC18 origin - "Circle" normalized to "Cir"</t>
  </si>
  <si>
    <t xml:space="preserve">Grove City Warehouse</t>
  </si>
  <si>
    <t xml:space="preserve">GC-WH</t>
  </si>
  <si>
    <t xml:space="preserve">1501 Gateway Circle</t>
  </si>
  <si>
    <t xml:space="preserve">Portland Terminal</t>
  </si>
  <si>
    <t xml:space="preserve">PDX-TRM</t>
  </si>
  <si>
    <t xml:space="preserve">28910 SW Boberg Rd</t>
  </si>
  <si>
    <t xml:space="preserve">Wilsonville</t>
  </si>
  <si>
    <t xml:space="preserve">OR</t>
  </si>
  <si>
    <t xml:space="preserve">97070</t>
  </si>
  <si>
    <t xml:space="preserve">TC20</t>
  </si>
  <si>
    <t xml:space="preserve">Variation: "North" vs "N."</t>
  </si>
  <si>
    <t xml:space="preserve">Should match TC01 - "North" normalized same as "N."</t>
  </si>
  <si>
    <t xml:space="preserve">Tracy North Facility</t>
  </si>
  <si>
    <t xml:space="preserve">TNF-001</t>
  </si>
  <si>
    <t xml:space="preserve">San Diego Hub</t>
  </si>
  <si>
    <t xml:space="preserve">SAN-HUB</t>
  </si>
  <si>
    <t xml:space="preserve">3680 Calle Fortunada</t>
  </si>
  <si>
    <t xml:space="preserve">San Diego</t>
  </si>
  <si>
    <t xml:space="preserve">92173</t>
  </si>
  <si>
    <t xml:space="preserve">TC21</t>
  </si>
  <si>
    <t xml:space="preserve">Variation: "South" vs "S"</t>
  </si>
  <si>
    <t xml:space="preserve">Creates baseline then tests S vs South normalization</t>
  </si>
  <si>
    <t xml:space="preserve">Phoenix South DC</t>
  </si>
  <si>
    <t xml:space="preserve">PHX-SDC</t>
  </si>
  <si>
    <t xml:space="preserve">2700 South 24th Street</t>
  </si>
  <si>
    <t xml:space="preserve">Albuquerque FC</t>
  </si>
  <si>
    <t xml:space="preserve">ABQ-FC</t>
  </si>
  <si>
    <t xml:space="preserve">8100 Pan American Fwy</t>
  </si>
  <si>
    <t xml:space="preserve">Albuquerque</t>
  </si>
  <si>
    <t xml:space="preserve">NM</t>
  </si>
  <si>
    <t xml:space="preserve">87113</t>
  </si>
  <si>
    <t xml:space="preserve">TC22</t>
  </si>
  <si>
    <t xml:space="preserve">Variation: "S" vs "South" (follow-up)</t>
  </si>
  <si>
    <t xml:space="preserve">Should match TC21 origin - "S" normalized to "South"</t>
  </si>
  <si>
    <t xml:space="preserve">Phoenix Logistics</t>
  </si>
  <si>
    <t xml:space="preserve">PHX-LOG</t>
  </si>
  <si>
    <t xml:space="preserve">Tulsa Warehouse</t>
  </si>
  <si>
    <t xml:space="preserve">TUL-WH</t>
  </si>
  <si>
    <t xml:space="preserve">7451 S 73rd E Ave</t>
  </si>
  <si>
    <t xml:space="preserve">Tulsa</t>
  </si>
  <si>
    <t xml:space="preserve">OK</t>
  </si>
  <si>
    <t xml:space="preserve">74133</t>
  </si>
  <si>
    <t xml:space="preserve">TC23</t>
  </si>
  <si>
    <t xml:space="preserve">Variation: "West" vs "W"</t>
  </si>
  <si>
    <t xml:space="preserve">Tests West/W normalization</t>
  </si>
  <si>
    <t xml:space="preserve">Phoenix West Hub</t>
  </si>
  <si>
    <t xml:space="preserve">PHX-WHB</t>
  </si>
  <si>
    <t xml:space="preserve">6835 West Buckeye Road</t>
  </si>
  <si>
    <t xml:space="preserve">Las Vegas DC</t>
  </si>
  <si>
    <t xml:space="preserve">LAS-DC</t>
  </si>
  <si>
    <t xml:space="preserve">6040 Tropical Pkwy</t>
  </si>
  <si>
    <t xml:space="preserve">North Las Vegas</t>
  </si>
  <si>
    <t xml:space="preserve">89031</t>
  </si>
  <si>
    <t xml:space="preserve">TC24</t>
  </si>
  <si>
    <t xml:space="preserve">Variation: "W" vs "West" (follow-up)</t>
  </si>
  <si>
    <t xml:space="preserve">Should match TC23 origin - "W" normalized to "West"</t>
  </si>
  <si>
    <t xml:space="preserve">Amazon PHX8</t>
  </si>
  <si>
    <t xml:space="preserve">PHX8</t>
  </si>
  <si>
    <t xml:space="preserve">6835 W Buckeye Rd</t>
  </si>
  <si>
    <t xml:space="preserve">Oklahoma City FC</t>
  </si>
  <si>
    <t xml:space="preserve">OKC-FC</t>
  </si>
  <si>
    <t xml:space="preserve">7450 W Reno Ave</t>
  </si>
  <si>
    <t xml:space="preserve">Oklahoma City</t>
  </si>
  <si>
    <t xml:space="preserve">73127</t>
  </si>
  <si>
    <t xml:space="preserve">TC25</t>
  </si>
  <si>
    <t xml:space="preserve">Suite in address1 (baseline)</t>
  </si>
  <si>
    <t xml:space="preserve">Creates NormalizedLocation - Google Places may strip or standardize suite</t>
  </si>
  <si>
    <t xml:space="preserve">Bellevue Office</t>
  </si>
  <si>
    <t xml:space="preserve">BEL-OF</t>
  </si>
  <si>
    <t xml:space="preserve">1227 124th Ave NE Suite A200</t>
  </si>
  <si>
    <t xml:space="preserve">Bellevue</t>
  </si>
  <si>
    <t xml:space="preserve">WA</t>
  </si>
  <si>
    <t xml:space="preserve">98005</t>
  </si>
  <si>
    <t xml:space="preserve">Spokane DC</t>
  </si>
  <si>
    <t xml:space="preserve">GEG-DC</t>
  </si>
  <si>
    <t xml:space="preserve">10010 W Geiger Blvd</t>
  </si>
  <si>
    <t xml:space="preserve">Spokane</t>
  </si>
  <si>
    <t xml:space="preserve">99224</t>
  </si>
  <si>
    <t xml:space="preserve">TC26</t>
  </si>
  <si>
    <t xml:space="preserve">Variation: "Ste" vs "Suite"</t>
  </si>
  <si>
    <t xml:space="preserve">Should match TC25 - "Ste" normalized to "Suite"</t>
  </si>
  <si>
    <t xml:space="preserve">Bellevue Distribution</t>
  </si>
  <si>
    <t xml:space="preserve">BEL-DIST</t>
  </si>
  <si>
    <t xml:space="preserve">1227 124th Ave NE Ste A200</t>
  </si>
  <si>
    <t xml:space="preserve">Tacoma Hub</t>
  </si>
  <si>
    <t xml:space="preserve">TAC-HUB</t>
  </si>
  <si>
    <t xml:space="preserve">2309 Milwaukee Way</t>
  </si>
  <si>
    <t xml:space="preserve">Tacoma</t>
  </si>
  <si>
    <t xml:space="preserve">98421</t>
  </si>
  <si>
    <t xml:space="preserve">TC27</t>
  </si>
  <si>
    <t xml:space="preserve">Variation: lowercase "suite"</t>
  </si>
  <si>
    <t xml:space="preserve">Should match TC25 - case insensitive normalization</t>
  </si>
  <si>
    <t xml:space="preserve">WA State Warehouse</t>
  </si>
  <si>
    <t xml:space="preserve">WA-WH</t>
  </si>
  <si>
    <t xml:space="preserve">1227 124th Ave NE suite a200</t>
  </si>
  <si>
    <t xml:space="preserve">Kent Fulfillment</t>
  </si>
  <si>
    <t xml:space="preserve">KNT-FC</t>
  </si>
  <si>
    <t xml:space="preserve">20202 84th Avenue South</t>
  </si>
  <si>
    <t xml:space="preserve">Kent</t>
  </si>
  <si>
    <t xml:space="preserve">98032</t>
  </si>
  <si>
    <t xml:space="preserve">TC28</t>
  </si>
  <si>
    <t xml:space="preserve">Same address, different address2 (Dock A)</t>
  </si>
  <si>
    <t xml:space="preserve">Should match TC01 - address2 NOT used in deduplication per recent AC update</t>
  </si>
  <si>
    <t xml:space="preserve">Amazon OAK4 Receiving</t>
  </si>
  <si>
    <t xml:space="preserve">OAK4-REC</t>
  </si>
  <si>
    <t xml:space="preserve">Dock A</t>
  </si>
  <si>
    <t xml:space="preserve">Target Atlanta</t>
  </si>
  <si>
    <t xml:space="preserve">TGT-ATL</t>
  </si>
  <si>
    <t xml:space="preserve">3900 Crown Rd SW</t>
  </si>
  <si>
    <t xml:space="preserve">TC29</t>
  </si>
  <si>
    <t xml:space="preserve">Same address, different address2 (Dock B)</t>
  </si>
  <si>
    <t xml:space="preserve">Should match TC01 - different dock still same NormalizedLocation</t>
  </si>
  <si>
    <t xml:space="preserve">Amazon OAK4 Shipping</t>
  </si>
  <si>
    <t xml:space="preserve">OAK4-SHP</t>
  </si>
  <si>
    <t xml:space="preserve">Dock B</t>
  </si>
  <si>
    <t xml:space="preserve">Kroger Louisville</t>
  </si>
  <si>
    <t xml:space="preserve">KRG-LOU</t>
  </si>
  <si>
    <t xml:space="preserve">TC30</t>
  </si>
  <si>
    <t xml:space="preserve">Same address, Building identifier in address2</t>
  </si>
  <si>
    <t xml:space="preserve">Should match TC01 - Building C in address2 ignored for dedup</t>
  </si>
  <si>
    <t xml:space="preserve">Tracy Campus Bldg C</t>
  </si>
  <si>
    <t xml:space="preserve">TRC-BLDC</t>
  </si>
  <si>
    <t xml:space="preserve">Building C</t>
  </si>
  <si>
    <t xml:space="preserve">CVS Atlanta DC</t>
  </si>
  <si>
    <t xml:space="preserve">CVS-ATL</t>
  </si>
  <si>
    <t xml:space="preserve">TC31</t>
  </si>
  <si>
    <t xml:space="preserve">Graceful Failure - Invalid Address</t>
  </si>
  <si>
    <t xml:space="preserve">Google Places fails, system uses user address, lat/long=null, flagged for review</t>
  </si>
  <si>
    <t xml:space="preserve">Unknown Facility</t>
  </si>
  <si>
    <t xml:space="preserve">UNK-001</t>
  </si>
  <si>
    <t xml:space="preserve">123 Fake Street</t>
  </si>
  <si>
    <t xml:space="preserve">Nowhere</t>
  </si>
  <si>
    <t xml:space="preserve">XX</t>
  </si>
  <si>
    <t xml:space="preserve">00000</t>
  </si>
  <si>
    <t xml:space="preserve">Amazon BFI1</t>
  </si>
  <si>
    <t xml:space="preserve">BFI1</t>
  </si>
  <si>
    <t xml:space="preserve">1800 140th Avenue Suite A</t>
  </si>
  <si>
    <t xml:space="preserve">Sumner</t>
  </si>
  <si>
    <t xml:space="preserve">98390</t>
  </si>
  <si>
    <t xml:space="preserve">TC32</t>
  </si>
  <si>
    <t xml:space="preserve">Graceful Failure - PO Box</t>
  </si>
  <si>
    <t xml:space="preserve">PO Box cannot be geocoded precisely, graceful failure expected</t>
  </si>
  <si>
    <t xml:space="preserve">Seattle Mail Center</t>
  </si>
  <si>
    <t xml:space="preserve">SEA-PO</t>
  </si>
  <si>
    <t xml:space="preserve">PO Box 80387</t>
  </si>
  <si>
    <t xml:space="preserve">Seattle</t>
  </si>
  <si>
    <t xml:space="preserve">98108</t>
  </si>
  <si>
    <t xml:space="preserve">Amazon MKE1</t>
  </si>
  <si>
    <t xml:space="preserve">MKE1</t>
  </si>
  <si>
    <t xml:space="preserve">3501 120th Ave</t>
  </si>
  <si>
    <t xml:space="preserve">Kenosha</t>
  </si>
  <si>
    <t xml:space="preserve">WI</t>
  </si>
  <si>
    <t xml:space="preserve">53144</t>
  </si>
  <si>
    <t xml:space="preserve">TC33</t>
  </si>
  <si>
    <t xml:space="preserve">Graceful Failure - Incomplete Address</t>
  </si>
  <si>
    <t xml:space="preserve">Missing street number, graceful failure expected</t>
  </si>
  <si>
    <t xml:space="preserve">Partial Address Test</t>
  </si>
  <si>
    <t xml:space="preserve">PAT-001</t>
  </si>
  <si>
    <t xml:space="preserve">Main Street</t>
  </si>
  <si>
    <t xml:space="preserve">Anytown</t>
  </si>
  <si>
    <t xml:space="preserve">90210</t>
  </si>
  <si>
    <t xml:space="preserve">Amazon JAX1</t>
  </si>
  <si>
    <t xml:space="preserve">JAX1</t>
  </si>
  <si>
    <t xml:space="preserve">TC34</t>
  </si>
  <si>
    <t xml:space="preserve">Location Naming - First Name Becomes Canonical</t>
  </si>
  <si>
    <t xml:space="preserve">Creates new location, canonical name = "Phoenix Crossdock" (first user name)</t>
  </si>
  <si>
    <t xml:space="preserve">Phoenix Crossdock</t>
  </si>
  <si>
    <t xml:space="preserve">PHX-CD</t>
  </si>
  <si>
    <t xml:space="preserve">Tucson Distribution</t>
  </si>
  <si>
    <t xml:space="preserve">TC35</t>
  </si>
  <si>
    <t xml:space="preserve">Location Naming - Second Name Different</t>
  </si>
  <si>
    <t xml:space="preserve">Matches TC34, canonical stays "Phoenix Crossdock", user sees "Schneider Phoenix"</t>
  </si>
  <si>
    <t xml:space="preserve">Schneider Phoenix</t>
  </si>
  <si>
    <t xml:space="preserve">SCH-PHX</t>
  </si>
  <si>
    <t xml:space="preserve">LA Port Terminal</t>
  </si>
  <si>
    <t xml:space="preserve">LAX-PT</t>
  </si>
  <si>
    <t xml:space="preserve">300 E Ocean Blvd</t>
  </si>
  <si>
    <t xml:space="preserve">Long Beach</t>
  </si>
  <si>
    <t xml:space="preserve">90802</t>
  </si>
  <si>
    <t xml:space="preserve">TC36</t>
  </si>
  <si>
    <t xml:space="preserve">Location Naming - Third Name Different</t>
  </si>
  <si>
    <t xml:space="preserve">Matches TC34, canonical still "Phoenix Crossdock", user sees "AZ Central Hub"</t>
  </si>
  <si>
    <t xml:space="preserve">AZ Central Hub</t>
  </si>
  <si>
    <t xml:space="preserve">AZ-HUB</t>
  </si>
  <si>
    <t xml:space="preserve">Riverside DC</t>
  </si>
  <si>
    <t xml:space="preserve">RIV-DC</t>
  </si>
  <si>
    <t xml:space="preserve">7177 Jurupa Ave</t>
  </si>
  <si>
    <t xml:space="preserve">Riverside</t>
  </si>
  <si>
    <t xml:space="preserve">92504</t>
  </si>
  <si>
    <t xml:space="preserve">TC37</t>
  </si>
  <si>
    <t xml:space="preserve">Coordinate Proximity - Same Physical Location</t>
  </si>
  <si>
    <t xml:space="preserve">Amazon EWR6 and EWR7 are same address - Tier 1 or 2 match</t>
  </si>
  <si>
    <t xml:space="preserve">Amazon EWR7</t>
  </si>
  <si>
    <t xml:space="preserve">EWR7</t>
  </si>
  <si>
    <t xml:space="preserve">Philadelphia DC</t>
  </si>
  <si>
    <t xml:space="preserve">PHL-DC</t>
  </si>
  <si>
    <t xml:space="preserve">4219 Richmond Street</t>
  </si>
  <si>
    <t xml:space="preserve">Philadelphia</t>
  </si>
  <si>
    <t xml:space="preserve">PA</t>
  </si>
  <si>
    <t xml:space="preserve">19137</t>
  </si>
  <si>
    <t xml:space="preserve">TC38</t>
  </si>
  <si>
    <t xml:space="preserve">Response Format - All Fields Present</t>
  </si>
  <si>
    <t xml:space="preserve">GET /loads returns: location_id, location_name (canonical), location_code (user), name (user), address fields, lat/long</t>
  </si>
  <si>
    <t xml:space="preserve">Jacksonville Hub</t>
  </si>
  <si>
    <t xml:space="preserve">JAX-HUB</t>
  </si>
  <si>
    <t xml:space="preserve">TC39</t>
  </si>
  <si>
    <t xml:space="preserve">Audit Trail - Timestamps Present</t>
  </si>
  <si>
    <t xml:space="preserve">NormalizedLocation has created_at and updated_at, second use updates updated_at</t>
  </si>
  <si>
    <t xml:space="preserve">Memphis Sort Center</t>
  </si>
  <si>
    <t xml:space="preserve">MEM-SC</t>
  </si>
  <si>
    <t xml:space="preserve">Nashville Distribution</t>
  </si>
  <si>
    <t xml:space="preserve">BNA-DIST</t>
  </si>
  <si>
    <t xml:space="preserve">TC40</t>
  </si>
  <si>
    <t xml:space="preserve">Preserve User Input - Custom Code &amp; Name</t>
  </si>
  <si>
    <t xml:space="preserve">GET /loads returns user original: location_code=CUST-001, name="My Custom Name" exactly as submitted</t>
  </si>
  <si>
    <t xml:space="preserve">My Custom Name</t>
  </si>
  <si>
    <t xml:space="preserve">CUST-001</t>
  </si>
  <si>
    <t xml:space="preserve">Client Warehouse</t>
  </si>
  <si>
    <t xml:space="preserve">CL-WH-99</t>
  </si>
  <si>
    <t xml:space="preserve">Suite 100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</si>
</sst>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22"/>
    <col collapsed="false" customWidth="true" hidden="false" outlineLevel="0" max="59" min="8" style="0" width="18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customFormat="false" ht="15" hidden="false" customHeight="false" outlineLevel="0" collapsed="false">
      <c r="A2" s="2" t="s">
        <v>59</v>
      </c>
      <c r="B2" s="3" t="s">
        <v>60</v>
      </c>
      <c r="C2" s="3" t="s">
        <v>61</v>
      </c>
      <c r="D2" s="4" t="s">
        <v>62</v>
      </c>
      <c r="E2" s="4" t="n">
        <v>1</v>
      </c>
      <c r="F2" s="5" t="str">
        <f aca="false">D2&amp;"-SHIP-"&amp;TEXT(E2,"000")</f>
        <v>20251229-SHIP-001</v>
      </c>
      <c r="G2" s="5" t="str">
        <f aca="false">D2&amp;"-TNDR-"&amp;TEXT(E2,"000")</f>
        <v>20251229-TNDR-001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n">
        <v>500</v>
      </c>
      <c r="N2" s="3" t="s">
        <v>68</v>
      </c>
      <c r="O2" s="3" t="n">
        <v>40000</v>
      </c>
      <c r="P2" s="3" t="s">
        <v>69</v>
      </c>
      <c r="Q2" s="3" t="s">
        <v>70</v>
      </c>
      <c r="R2" s="3" t="s">
        <v>71</v>
      </c>
      <c r="S2" s="3"/>
      <c r="T2" s="3"/>
      <c r="U2" s="3"/>
      <c r="V2" s="3" t="n">
        <v>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/>
      <c r="AC2" s="3" t="s">
        <v>77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  <c r="AJ2" s="3" t="s">
        <v>82</v>
      </c>
      <c r="AK2" s="3" t="s">
        <v>83</v>
      </c>
      <c r="AL2" s="3" t="s">
        <v>82</v>
      </c>
      <c r="AM2" s="3" t="s">
        <v>84</v>
      </c>
      <c r="AN2" s="3"/>
      <c r="AO2" s="3" t="n">
        <v>2</v>
      </c>
      <c r="AP2" s="3" t="s">
        <v>85</v>
      </c>
      <c r="AQ2" s="3" t="s">
        <v>73</v>
      </c>
      <c r="AR2" s="3" t="s">
        <v>86</v>
      </c>
      <c r="AS2" s="3" t="s">
        <v>87</v>
      </c>
      <c r="AT2" s="3" t="s">
        <v>88</v>
      </c>
      <c r="AU2" s="3"/>
      <c r="AV2" s="3" t="s">
        <v>89</v>
      </c>
      <c r="AW2" s="3" t="s">
        <v>90</v>
      </c>
      <c r="AX2" s="3" t="s">
        <v>91</v>
      </c>
      <c r="AY2" s="3" t="s">
        <v>80</v>
      </c>
      <c r="AZ2" s="3" t="s">
        <v>81</v>
      </c>
      <c r="BA2" s="3" t="s">
        <v>92</v>
      </c>
      <c r="BB2" s="3" t="s">
        <v>93</v>
      </c>
      <c r="BC2" s="3" t="s">
        <v>92</v>
      </c>
      <c r="BD2" s="3" t="s">
        <v>93</v>
      </c>
      <c r="BE2" s="3" t="s">
        <v>92</v>
      </c>
      <c r="BF2" s="3" t="s">
        <v>94</v>
      </c>
      <c r="BG2" s="3"/>
    </row>
    <row r="3" customFormat="false" ht="15" hidden="false" customHeight="false" outlineLevel="0" collapsed="false">
      <c r="A3" s="2" t="s">
        <v>95</v>
      </c>
      <c r="B3" s="3" t="s">
        <v>96</v>
      </c>
      <c r="C3" s="3" t="s">
        <v>97</v>
      </c>
      <c r="D3" s="4" t="s">
        <v>62</v>
      </c>
      <c r="E3" s="4" t="n">
        <v>2</v>
      </c>
      <c r="F3" s="5" t="str">
        <f aca="false">D3&amp;"-SHIP-"&amp;TEXT(E3,"000")</f>
        <v>20251229-SHIP-002</v>
      </c>
      <c r="G3" s="5" t="str">
        <f aca="false">D3&amp;"-TNDR-"&amp;TEXT(E3,"000")</f>
        <v>20251229-TNDR-002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  <c r="M3" s="3" t="n">
        <v>500</v>
      </c>
      <c r="N3" s="3" t="s">
        <v>68</v>
      </c>
      <c r="O3" s="3" t="n">
        <v>40000</v>
      </c>
      <c r="P3" s="3" t="s">
        <v>69</v>
      </c>
      <c r="Q3" s="3" t="s">
        <v>98</v>
      </c>
      <c r="R3" s="3" t="s">
        <v>99</v>
      </c>
      <c r="S3" s="3"/>
      <c r="T3" s="3"/>
      <c r="U3" s="3"/>
      <c r="V3" s="3" t="n">
        <v>1</v>
      </c>
      <c r="W3" s="3" t="s">
        <v>72</v>
      </c>
      <c r="X3" s="3" t="s">
        <v>73</v>
      </c>
      <c r="Y3" s="3" t="s">
        <v>74</v>
      </c>
      <c r="Z3" s="3" t="s">
        <v>75</v>
      </c>
      <c r="AA3" s="3" t="s">
        <v>76</v>
      </c>
      <c r="AB3" s="3"/>
      <c r="AC3" s="3" t="s">
        <v>77</v>
      </c>
      <c r="AD3" s="3" t="s">
        <v>78</v>
      </c>
      <c r="AE3" s="3" t="s">
        <v>79</v>
      </c>
      <c r="AF3" s="3" t="s">
        <v>80</v>
      </c>
      <c r="AG3" s="3" t="s">
        <v>81</v>
      </c>
      <c r="AH3" s="3" t="s">
        <v>82</v>
      </c>
      <c r="AI3" s="3" t="s">
        <v>83</v>
      </c>
      <c r="AJ3" s="3" t="s">
        <v>82</v>
      </c>
      <c r="AK3" s="3" t="s">
        <v>83</v>
      </c>
      <c r="AL3" s="3" t="s">
        <v>82</v>
      </c>
      <c r="AM3" s="3" t="s">
        <v>84</v>
      </c>
      <c r="AN3" s="3"/>
      <c r="AO3" s="3" t="n">
        <v>2</v>
      </c>
      <c r="AP3" s="3" t="s">
        <v>85</v>
      </c>
      <c r="AQ3" s="3" t="s">
        <v>73</v>
      </c>
      <c r="AR3" s="3" t="s">
        <v>100</v>
      </c>
      <c r="AS3" s="3" t="s">
        <v>101</v>
      </c>
      <c r="AT3" s="3" t="s">
        <v>102</v>
      </c>
      <c r="AU3" s="3"/>
      <c r="AV3" s="3" t="s">
        <v>103</v>
      </c>
      <c r="AW3" s="3" t="s">
        <v>104</v>
      </c>
      <c r="AX3" s="3" t="s">
        <v>105</v>
      </c>
      <c r="AY3" s="3" t="s">
        <v>80</v>
      </c>
      <c r="AZ3" s="3" t="s">
        <v>81</v>
      </c>
      <c r="BA3" s="3" t="s">
        <v>92</v>
      </c>
      <c r="BB3" s="3" t="s">
        <v>93</v>
      </c>
      <c r="BC3" s="3" t="s">
        <v>92</v>
      </c>
      <c r="BD3" s="3" t="s">
        <v>93</v>
      </c>
      <c r="BE3" s="3" t="s">
        <v>92</v>
      </c>
      <c r="BF3" s="3" t="s">
        <v>94</v>
      </c>
      <c r="BG3" s="3"/>
    </row>
    <row r="4" customFormat="false" ht="15" hidden="false" customHeight="false" outlineLevel="0" collapsed="false">
      <c r="A4" s="2" t="s">
        <v>106</v>
      </c>
      <c r="B4" s="3" t="s">
        <v>107</v>
      </c>
      <c r="C4" s="3" t="s">
        <v>108</v>
      </c>
      <c r="D4" s="4" t="s">
        <v>62</v>
      </c>
      <c r="E4" s="4" t="n">
        <v>3</v>
      </c>
      <c r="F4" s="5" t="str">
        <f aca="false">D4&amp;"-SHIP-"&amp;TEXT(E4,"000")</f>
        <v>20251229-SHIP-003</v>
      </c>
      <c r="G4" s="5" t="str">
        <f aca="false">D4&amp;"-TNDR-"&amp;TEXT(E4,"000")</f>
        <v>20251229-TNDR-003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n">
        <v>500</v>
      </c>
      <c r="N4" s="3" t="s">
        <v>68</v>
      </c>
      <c r="O4" s="3" t="n">
        <v>40000</v>
      </c>
      <c r="P4" s="3" t="s">
        <v>69</v>
      </c>
      <c r="Q4" s="3" t="s">
        <v>70</v>
      </c>
      <c r="R4" s="3" t="s">
        <v>71</v>
      </c>
      <c r="S4" s="3"/>
      <c r="T4" s="3"/>
      <c r="U4" s="3"/>
      <c r="V4" s="3" t="n">
        <v>1</v>
      </c>
      <c r="W4" s="3" t="s">
        <v>72</v>
      </c>
      <c r="X4" s="3" t="s">
        <v>73</v>
      </c>
      <c r="Y4" s="3" t="s">
        <v>109</v>
      </c>
      <c r="Z4" s="3" t="s">
        <v>110</v>
      </c>
      <c r="AA4" s="3" t="s">
        <v>111</v>
      </c>
      <c r="AB4" s="3"/>
      <c r="AC4" s="3" t="s">
        <v>77</v>
      </c>
      <c r="AD4" s="3" t="s">
        <v>78</v>
      </c>
      <c r="AE4" s="3" t="s">
        <v>79</v>
      </c>
      <c r="AF4" s="3" t="s">
        <v>80</v>
      </c>
      <c r="AG4" s="3" t="s">
        <v>81</v>
      </c>
      <c r="AH4" s="3" t="s">
        <v>82</v>
      </c>
      <c r="AI4" s="3" t="s">
        <v>83</v>
      </c>
      <c r="AJ4" s="3" t="s">
        <v>82</v>
      </c>
      <c r="AK4" s="3" t="s">
        <v>83</v>
      </c>
      <c r="AL4" s="3" t="s">
        <v>82</v>
      </c>
      <c r="AM4" s="3" t="s">
        <v>84</v>
      </c>
      <c r="AN4" s="3"/>
      <c r="AO4" s="3" t="n">
        <v>2</v>
      </c>
      <c r="AP4" s="3" t="s">
        <v>85</v>
      </c>
      <c r="AQ4" s="3" t="s">
        <v>73</v>
      </c>
      <c r="AR4" s="3" t="s">
        <v>112</v>
      </c>
      <c r="AS4" s="3" t="s">
        <v>113</v>
      </c>
      <c r="AT4" s="3" t="s">
        <v>114</v>
      </c>
      <c r="AU4" s="3"/>
      <c r="AV4" s="3" t="s">
        <v>103</v>
      </c>
      <c r="AW4" s="3" t="s">
        <v>104</v>
      </c>
      <c r="AX4" s="3" t="s">
        <v>115</v>
      </c>
      <c r="AY4" s="3" t="s">
        <v>80</v>
      </c>
      <c r="AZ4" s="3" t="s">
        <v>81</v>
      </c>
      <c r="BA4" s="3" t="s">
        <v>92</v>
      </c>
      <c r="BB4" s="3" t="s">
        <v>93</v>
      </c>
      <c r="BC4" s="3" t="s">
        <v>92</v>
      </c>
      <c r="BD4" s="3" t="s">
        <v>93</v>
      </c>
      <c r="BE4" s="3" t="s">
        <v>92</v>
      </c>
      <c r="BF4" s="3" t="s">
        <v>94</v>
      </c>
      <c r="BG4" s="3"/>
    </row>
    <row r="5" customFormat="false" ht="15" hidden="false" customHeight="false" outlineLevel="0" collapsed="false">
      <c r="A5" s="2" t="s">
        <v>116</v>
      </c>
      <c r="B5" s="3" t="s">
        <v>117</v>
      </c>
      <c r="C5" s="3" t="s">
        <v>118</v>
      </c>
      <c r="D5" s="4" t="s">
        <v>62</v>
      </c>
      <c r="E5" s="4" t="n">
        <v>4</v>
      </c>
      <c r="F5" s="5" t="str">
        <f aca="false">D5&amp;"-SHIP-"&amp;TEXT(E5,"000")</f>
        <v>20251229-SHIP-004</v>
      </c>
      <c r="G5" s="5" t="str">
        <f aca="false">D5&amp;"-TNDR-"&amp;TEXT(E5,"000")</f>
        <v>20251229-TNDR-004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n">
        <v>500</v>
      </c>
      <c r="N5" s="3" t="s">
        <v>68</v>
      </c>
      <c r="O5" s="3" t="n">
        <v>40000</v>
      </c>
      <c r="P5" s="3" t="s">
        <v>69</v>
      </c>
      <c r="Q5" s="3" t="s">
        <v>98</v>
      </c>
      <c r="R5" s="3" t="s">
        <v>99</v>
      </c>
      <c r="S5" s="3"/>
      <c r="T5" s="3"/>
      <c r="U5" s="3"/>
      <c r="V5" s="3" t="n">
        <v>1</v>
      </c>
      <c r="W5" s="3" t="s">
        <v>72</v>
      </c>
      <c r="X5" s="3" t="s">
        <v>73</v>
      </c>
      <c r="Y5" s="3" t="s">
        <v>119</v>
      </c>
      <c r="Z5" s="3" t="s">
        <v>120</v>
      </c>
      <c r="AA5" s="3" t="s">
        <v>121</v>
      </c>
      <c r="AB5" s="3"/>
      <c r="AC5" s="3" t="s">
        <v>77</v>
      </c>
      <c r="AD5" s="3" t="s">
        <v>78</v>
      </c>
      <c r="AE5" s="3" t="s">
        <v>79</v>
      </c>
      <c r="AF5" s="3" t="s">
        <v>80</v>
      </c>
      <c r="AG5" s="3" t="s">
        <v>81</v>
      </c>
      <c r="AH5" s="3" t="s">
        <v>82</v>
      </c>
      <c r="AI5" s="3" t="s">
        <v>83</v>
      </c>
      <c r="AJ5" s="3" t="s">
        <v>82</v>
      </c>
      <c r="AK5" s="3" t="s">
        <v>83</v>
      </c>
      <c r="AL5" s="3" t="s">
        <v>82</v>
      </c>
      <c r="AM5" s="3" t="s">
        <v>84</v>
      </c>
      <c r="AN5" s="3"/>
      <c r="AO5" s="3" t="n">
        <v>2</v>
      </c>
      <c r="AP5" s="3" t="s">
        <v>85</v>
      </c>
      <c r="AQ5" s="3" t="s">
        <v>73</v>
      </c>
      <c r="AR5" s="3" t="s">
        <v>122</v>
      </c>
      <c r="AS5" s="3" t="s">
        <v>123</v>
      </c>
      <c r="AT5" s="3" t="s">
        <v>124</v>
      </c>
      <c r="AU5" s="3"/>
      <c r="AV5" s="3" t="s">
        <v>125</v>
      </c>
      <c r="AW5" s="3" t="s">
        <v>126</v>
      </c>
      <c r="AX5" s="3" t="s">
        <v>127</v>
      </c>
      <c r="AY5" s="3" t="s">
        <v>80</v>
      </c>
      <c r="AZ5" s="3" t="s">
        <v>81</v>
      </c>
      <c r="BA5" s="3" t="s">
        <v>92</v>
      </c>
      <c r="BB5" s="3" t="s">
        <v>93</v>
      </c>
      <c r="BC5" s="3" t="s">
        <v>92</v>
      </c>
      <c r="BD5" s="3" t="s">
        <v>93</v>
      </c>
      <c r="BE5" s="3" t="s">
        <v>92</v>
      </c>
      <c r="BF5" s="3" t="s">
        <v>94</v>
      </c>
      <c r="BG5" s="3"/>
    </row>
    <row r="6" customFormat="false" ht="15" hidden="false" customHeight="false" outlineLevel="0" collapsed="false">
      <c r="A6" s="2" t="s">
        <v>128</v>
      </c>
      <c r="B6" s="3" t="s">
        <v>129</v>
      </c>
      <c r="C6" s="3" t="s">
        <v>130</v>
      </c>
      <c r="D6" s="4" t="s">
        <v>62</v>
      </c>
      <c r="E6" s="4" t="n">
        <v>5</v>
      </c>
      <c r="F6" s="5" t="str">
        <f aca="false">D6&amp;"-SHIP-"&amp;TEXT(E6,"000")</f>
        <v>20251229-SHIP-005</v>
      </c>
      <c r="G6" s="5" t="str">
        <f aca="false">D6&amp;"-TNDR-"&amp;TEXT(E6,"000")</f>
        <v>20251229-TNDR-005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  <c r="M6" s="3" t="n">
        <v>500</v>
      </c>
      <c r="N6" s="3" t="s">
        <v>68</v>
      </c>
      <c r="O6" s="3" t="n">
        <v>40000</v>
      </c>
      <c r="P6" s="3" t="s">
        <v>69</v>
      </c>
      <c r="Q6" s="3" t="s">
        <v>70</v>
      </c>
      <c r="R6" s="3" t="s">
        <v>71</v>
      </c>
      <c r="S6" s="3"/>
      <c r="T6" s="3"/>
      <c r="U6" s="3"/>
      <c r="V6" s="3" t="n">
        <v>1</v>
      </c>
      <c r="W6" s="3" t="s">
        <v>72</v>
      </c>
      <c r="X6" s="3" t="s">
        <v>73</v>
      </c>
      <c r="Y6" s="3" t="s">
        <v>131</v>
      </c>
      <c r="Z6" s="3" t="s">
        <v>132</v>
      </c>
      <c r="AA6" s="3" t="s">
        <v>133</v>
      </c>
      <c r="AB6" s="3"/>
      <c r="AC6" s="3" t="s">
        <v>134</v>
      </c>
      <c r="AD6" s="3" t="s">
        <v>135</v>
      </c>
      <c r="AE6" s="3" t="s">
        <v>136</v>
      </c>
      <c r="AF6" s="3" t="s">
        <v>80</v>
      </c>
      <c r="AG6" s="3" t="s">
        <v>81</v>
      </c>
      <c r="AH6" s="3" t="s">
        <v>82</v>
      </c>
      <c r="AI6" s="3" t="s">
        <v>83</v>
      </c>
      <c r="AJ6" s="3" t="s">
        <v>82</v>
      </c>
      <c r="AK6" s="3" t="s">
        <v>83</v>
      </c>
      <c r="AL6" s="3" t="s">
        <v>82</v>
      </c>
      <c r="AM6" s="3" t="s">
        <v>84</v>
      </c>
      <c r="AN6" s="3"/>
      <c r="AO6" s="3" t="n">
        <v>2</v>
      </c>
      <c r="AP6" s="3" t="s">
        <v>85</v>
      </c>
      <c r="AQ6" s="3" t="s">
        <v>73</v>
      </c>
      <c r="AR6" s="3" t="s">
        <v>137</v>
      </c>
      <c r="AS6" s="3" t="s">
        <v>138</v>
      </c>
      <c r="AT6" s="3" t="s">
        <v>139</v>
      </c>
      <c r="AU6" s="3"/>
      <c r="AV6" s="3" t="s">
        <v>140</v>
      </c>
      <c r="AW6" s="3" t="s">
        <v>141</v>
      </c>
      <c r="AX6" s="3" t="s">
        <v>142</v>
      </c>
      <c r="AY6" s="3" t="s">
        <v>80</v>
      </c>
      <c r="AZ6" s="3" t="s">
        <v>81</v>
      </c>
      <c r="BA6" s="3" t="s">
        <v>92</v>
      </c>
      <c r="BB6" s="3" t="s">
        <v>93</v>
      </c>
      <c r="BC6" s="3" t="s">
        <v>92</v>
      </c>
      <c r="BD6" s="3" t="s">
        <v>93</v>
      </c>
      <c r="BE6" s="3" t="s">
        <v>92</v>
      </c>
      <c r="BF6" s="3" t="s">
        <v>94</v>
      </c>
      <c r="BG6" s="3"/>
    </row>
    <row r="7" customFormat="false" ht="15" hidden="false" customHeight="false" outlineLevel="0" collapsed="false">
      <c r="A7" s="2" t="s">
        <v>143</v>
      </c>
      <c r="B7" s="3" t="s">
        <v>144</v>
      </c>
      <c r="C7" s="3" t="s">
        <v>145</v>
      </c>
      <c r="D7" s="4" t="s">
        <v>62</v>
      </c>
      <c r="E7" s="4" t="n">
        <v>6</v>
      </c>
      <c r="F7" s="5" t="str">
        <f aca="false">D7&amp;"-SHIP-"&amp;TEXT(E7,"000")</f>
        <v>20251229-SHIP-006</v>
      </c>
      <c r="G7" s="5" t="str">
        <f aca="false">D7&amp;"-TNDR-"&amp;TEXT(E7,"000")</f>
        <v>20251229-TNDR-006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67</v>
      </c>
      <c r="M7" s="3" t="n">
        <v>500</v>
      </c>
      <c r="N7" s="3" t="s">
        <v>68</v>
      </c>
      <c r="O7" s="3" t="n">
        <v>40000</v>
      </c>
      <c r="P7" s="3" t="s">
        <v>69</v>
      </c>
      <c r="Q7" s="3" t="s">
        <v>98</v>
      </c>
      <c r="R7" s="3" t="s">
        <v>99</v>
      </c>
      <c r="S7" s="3"/>
      <c r="T7" s="3"/>
      <c r="U7" s="3"/>
      <c r="V7" s="3" t="n">
        <v>1</v>
      </c>
      <c r="W7" s="3" t="s">
        <v>72</v>
      </c>
      <c r="X7" s="3" t="s">
        <v>73</v>
      </c>
      <c r="Y7" s="3" t="s">
        <v>146</v>
      </c>
      <c r="Z7" s="3" t="s">
        <v>147</v>
      </c>
      <c r="AA7" s="3" t="s">
        <v>148</v>
      </c>
      <c r="AB7" s="3"/>
      <c r="AC7" s="3" t="s">
        <v>134</v>
      </c>
      <c r="AD7" s="3" t="s">
        <v>135</v>
      </c>
      <c r="AE7" s="3" t="s">
        <v>136</v>
      </c>
      <c r="AF7" s="3" t="s">
        <v>80</v>
      </c>
      <c r="AG7" s="3" t="s">
        <v>81</v>
      </c>
      <c r="AH7" s="3" t="s">
        <v>82</v>
      </c>
      <c r="AI7" s="3" t="s">
        <v>83</v>
      </c>
      <c r="AJ7" s="3" t="s">
        <v>82</v>
      </c>
      <c r="AK7" s="3" t="s">
        <v>83</v>
      </c>
      <c r="AL7" s="3" t="s">
        <v>82</v>
      </c>
      <c r="AM7" s="3" t="s">
        <v>84</v>
      </c>
      <c r="AN7" s="3"/>
      <c r="AO7" s="3" t="n">
        <v>2</v>
      </c>
      <c r="AP7" s="3" t="s">
        <v>85</v>
      </c>
      <c r="AQ7" s="3" t="s">
        <v>73</v>
      </c>
      <c r="AR7" s="3" t="s">
        <v>149</v>
      </c>
      <c r="AS7" s="3" t="s">
        <v>150</v>
      </c>
      <c r="AT7" s="3" t="s">
        <v>151</v>
      </c>
      <c r="AU7" s="3"/>
      <c r="AV7" s="3" t="s">
        <v>152</v>
      </c>
      <c r="AW7" s="3" t="s">
        <v>141</v>
      </c>
      <c r="AX7" s="3" t="s">
        <v>153</v>
      </c>
      <c r="AY7" s="3" t="s">
        <v>80</v>
      </c>
      <c r="AZ7" s="3" t="s">
        <v>81</v>
      </c>
      <c r="BA7" s="3" t="s">
        <v>92</v>
      </c>
      <c r="BB7" s="3" t="s">
        <v>93</v>
      </c>
      <c r="BC7" s="3" t="s">
        <v>92</v>
      </c>
      <c r="BD7" s="3" t="s">
        <v>93</v>
      </c>
      <c r="BE7" s="3" t="s">
        <v>92</v>
      </c>
      <c r="BF7" s="3" t="s">
        <v>94</v>
      </c>
      <c r="BG7" s="3"/>
    </row>
    <row r="8" customFormat="false" ht="15" hidden="false" customHeight="false" outlineLevel="0" collapsed="false">
      <c r="A8" s="2" t="s">
        <v>154</v>
      </c>
      <c r="B8" s="3" t="s">
        <v>155</v>
      </c>
      <c r="C8" s="3" t="s">
        <v>156</v>
      </c>
      <c r="D8" s="4" t="s">
        <v>62</v>
      </c>
      <c r="E8" s="4" t="n">
        <v>7</v>
      </c>
      <c r="F8" s="5" t="str">
        <f aca="false">D8&amp;"-SHIP-"&amp;TEXT(E8,"000")</f>
        <v>20251229-SHIP-007</v>
      </c>
      <c r="G8" s="5" t="str">
        <f aca="false">D8&amp;"-TNDR-"&amp;TEXT(E8,"000")</f>
        <v>20251229-TNDR-007</v>
      </c>
      <c r="H8" s="3" t="s">
        <v>63</v>
      </c>
      <c r="I8" s="3" t="s">
        <v>64</v>
      </c>
      <c r="J8" s="3" t="s">
        <v>65</v>
      </c>
      <c r="K8" s="3" t="s">
        <v>66</v>
      </c>
      <c r="L8" s="3" t="s">
        <v>67</v>
      </c>
      <c r="M8" s="3" t="n">
        <v>500</v>
      </c>
      <c r="N8" s="3" t="s">
        <v>68</v>
      </c>
      <c r="O8" s="3" t="n">
        <v>40000</v>
      </c>
      <c r="P8" s="3" t="s">
        <v>69</v>
      </c>
      <c r="Q8" s="3" t="s">
        <v>70</v>
      </c>
      <c r="R8" s="3" t="s">
        <v>71</v>
      </c>
      <c r="S8" s="3"/>
      <c r="T8" s="3"/>
      <c r="U8" s="3"/>
      <c r="V8" s="3" t="n">
        <v>1</v>
      </c>
      <c r="W8" s="3" t="s">
        <v>72</v>
      </c>
      <c r="X8" s="3" t="s">
        <v>73</v>
      </c>
      <c r="Y8" s="3" t="s">
        <v>157</v>
      </c>
      <c r="Z8" s="3" t="s">
        <v>158</v>
      </c>
      <c r="AA8" s="3" t="s">
        <v>159</v>
      </c>
      <c r="AB8" s="3"/>
      <c r="AC8" s="3" t="s">
        <v>134</v>
      </c>
      <c r="AD8" s="3" t="s">
        <v>135</v>
      </c>
      <c r="AE8" s="3" t="s">
        <v>136</v>
      </c>
      <c r="AF8" s="3" t="s">
        <v>80</v>
      </c>
      <c r="AG8" s="3" t="s">
        <v>81</v>
      </c>
      <c r="AH8" s="3" t="s">
        <v>82</v>
      </c>
      <c r="AI8" s="3" t="s">
        <v>83</v>
      </c>
      <c r="AJ8" s="3" t="s">
        <v>82</v>
      </c>
      <c r="AK8" s="3" t="s">
        <v>83</v>
      </c>
      <c r="AL8" s="3" t="s">
        <v>82</v>
      </c>
      <c r="AM8" s="3" t="s">
        <v>84</v>
      </c>
      <c r="AN8" s="3"/>
      <c r="AO8" s="3" t="n">
        <v>2</v>
      </c>
      <c r="AP8" s="3" t="s">
        <v>85</v>
      </c>
      <c r="AQ8" s="3" t="s">
        <v>73</v>
      </c>
      <c r="AR8" s="3" t="s">
        <v>160</v>
      </c>
      <c r="AS8" s="3" t="s">
        <v>161</v>
      </c>
      <c r="AT8" s="3" t="s">
        <v>162</v>
      </c>
      <c r="AU8" s="3"/>
      <c r="AV8" s="3" t="s">
        <v>163</v>
      </c>
      <c r="AW8" s="3" t="s">
        <v>164</v>
      </c>
      <c r="AX8" s="3" t="s">
        <v>165</v>
      </c>
      <c r="AY8" s="3" t="s">
        <v>80</v>
      </c>
      <c r="AZ8" s="3" t="s">
        <v>81</v>
      </c>
      <c r="BA8" s="3" t="s">
        <v>92</v>
      </c>
      <c r="BB8" s="3" t="s">
        <v>93</v>
      </c>
      <c r="BC8" s="3" t="s">
        <v>92</v>
      </c>
      <c r="BD8" s="3" t="s">
        <v>93</v>
      </c>
      <c r="BE8" s="3" t="s">
        <v>92</v>
      </c>
      <c r="BF8" s="3" t="s">
        <v>94</v>
      </c>
      <c r="BG8" s="3"/>
    </row>
    <row r="9" customFormat="false" ht="15" hidden="false" customHeight="false" outlineLevel="0" collapsed="false">
      <c r="A9" s="2" t="s">
        <v>166</v>
      </c>
      <c r="B9" s="3" t="s">
        <v>167</v>
      </c>
      <c r="C9" s="3" t="s">
        <v>168</v>
      </c>
      <c r="D9" s="4" t="s">
        <v>62</v>
      </c>
      <c r="E9" s="4" t="n">
        <v>8</v>
      </c>
      <c r="F9" s="5" t="str">
        <f aca="false">D9&amp;"-SHIP-"&amp;TEXT(E9,"000")</f>
        <v>20251229-SHIP-008</v>
      </c>
      <c r="G9" s="5" t="str">
        <f aca="false">D9&amp;"-TNDR-"&amp;TEXT(E9,"000")</f>
        <v>20251229-TNDR-008</v>
      </c>
      <c r="H9" s="3" t="s">
        <v>63</v>
      </c>
      <c r="I9" s="3" t="s">
        <v>64</v>
      </c>
      <c r="J9" s="3" t="s">
        <v>65</v>
      </c>
      <c r="K9" s="3" t="s">
        <v>66</v>
      </c>
      <c r="L9" s="3" t="s">
        <v>67</v>
      </c>
      <c r="M9" s="3" t="n">
        <v>500</v>
      </c>
      <c r="N9" s="3" t="s">
        <v>68</v>
      </c>
      <c r="O9" s="3" t="n">
        <v>40000</v>
      </c>
      <c r="P9" s="3" t="s">
        <v>69</v>
      </c>
      <c r="Q9" s="3" t="s">
        <v>98</v>
      </c>
      <c r="R9" s="3" t="s">
        <v>99</v>
      </c>
      <c r="S9" s="3"/>
      <c r="T9" s="3"/>
      <c r="U9" s="3"/>
      <c r="V9" s="3" t="n">
        <v>1</v>
      </c>
      <c r="W9" s="3" t="s">
        <v>72</v>
      </c>
      <c r="X9" s="3" t="s">
        <v>73</v>
      </c>
      <c r="Y9" s="3" t="s">
        <v>169</v>
      </c>
      <c r="Z9" s="3" t="s">
        <v>170</v>
      </c>
      <c r="AA9" s="3" t="s">
        <v>171</v>
      </c>
      <c r="AB9" s="3"/>
      <c r="AC9" s="3" t="s">
        <v>172</v>
      </c>
      <c r="AD9" s="3" t="s">
        <v>78</v>
      </c>
      <c r="AE9" s="3" t="s">
        <v>173</v>
      </c>
      <c r="AF9" s="3" t="s">
        <v>80</v>
      </c>
      <c r="AG9" s="3" t="s">
        <v>81</v>
      </c>
      <c r="AH9" s="3" t="s">
        <v>82</v>
      </c>
      <c r="AI9" s="3" t="s">
        <v>83</v>
      </c>
      <c r="AJ9" s="3" t="s">
        <v>82</v>
      </c>
      <c r="AK9" s="3" t="s">
        <v>83</v>
      </c>
      <c r="AL9" s="3" t="s">
        <v>82</v>
      </c>
      <c r="AM9" s="3" t="s">
        <v>84</v>
      </c>
      <c r="AN9" s="3"/>
      <c r="AO9" s="3" t="n">
        <v>2</v>
      </c>
      <c r="AP9" s="3" t="s">
        <v>85</v>
      </c>
      <c r="AQ9" s="3" t="s">
        <v>73</v>
      </c>
      <c r="AR9" s="3" t="s">
        <v>174</v>
      </c>
      <c r="AS9" s="3" t="s">
        <v>175</v>
      </c>
      <c r="AT9" s="3" t="s">
        <v>176</v>
      </c>
      <c r="AU9" s="3"/>
      <c r="AV9" s="3" t="s">
        <v>177</v>
      </c>
      <c r="AW9" s="3" t="s">
        <v>126</v>
      </c>
      <c r="AX9" s="3" t="s">
        <v>178</v>
      </c>
      <c r="AY9" s="3" t="s">
        <v>80</v>
      </c>
      <c r="AZ9" s="3" t="s">
        <v>81</v>
      </c>
      <c r="BA9" s="3" t="s">
        <v>92</v>
      </c>
      <c r="BB9" s="3" t="s">
        <v>93</v>
      </c>
      <c r="BC9" s="3" t="s">
        <v>92</v>
      </c>
      <c r="BD9" s="3" t="s">
        <v>93</v>
      </c>
      <c r="BE9" s="3" t="s">
        <v>92</v>
      </c>
      <c r="BF9" s="3" t="s">
        <v>94</v>
      </c>
      <c r="BG9" s="3"/>
    </row>
    <row r="10" customFormat="false" ht="15" hidden="false" customHeight="false" outlineLevel="0" collapsed="false">
      <c r="A10" s="2" t="s">
        <v>179</v>
      </c>
      <c r="B10" s="3" t="s">
        <v>180</v>
      </c>
      <c r="C10" s="3" t="s">
        <v>181</v>
      </c>
      <c r="D10" s="4" t="s">
        <v>62</v>
      </c>
      <c r="E10" s="4" t="n">
        <v>9</v>
      </c>
      <c r="F10" s="5" t="str">
        <f aca="false">D10&amp;"-SHIP-"&amp;TEXT(E10,"000")</f>
        <v>20251229-SHIP-009</v>
      </c>
      <c r="G10" s="5" t="str">
        <f aca="false">D10&amp;"-TNDR-"&amp;TEXT(E10,"000")</f>
        <v>20251229-TNDR-009</v>
      </c>
      <c r="H10" s="3" t="s">
        <v>63</v>
      </c>
      <c r="I10" s="3" t="s">
        <v>64</v>
      </c>
      <c r="J10" s="3" t="s">
        <v>65</v>
      </c>
      <c r="K10" s="3" t="s">
        <v>66</v>
      </c>
      <c r="L10" s="3" t="s">
        <v>67</v>
      </c>
      <c r="M10" s="3" t="n">
        <v>500</v>
      </c>
      <c r="N10" s="3" t="s">
        <v>68</v>
      </c>
      <c r="O10" s="3" t="n">
        <v>40000</v>
      </c>
      <c r="P10" s="3" t="s">
        <v>69</v>
      </c>
      <c r="Q10" s="3" t="s">
        <v>70</v>
      </c>
      <c r="R10" s="3" t="s">
        <v>71</v>
      </c>
      <c r="S10" s="3"/>
      <c r="T10" s="3"/>
      <c r="U10" s="3"/>
      <c r="V10" s="3" t="n">
        <v>1</v>
      </c>
      <c r="W10" s="3" t="s">
        <v>72</v>
      </c>
      <c r="X10" s="3" t="s">
        <v>73</v>
      </c>
      <c r="Y10" s="3" t="s">
        <v>182</v>
      </c>
      <c r="Z10" s="3" t="s">
        <v>183</v>
      </c>
      <c r="AA10" s="3" t="s">
        <v>184</v>
      </c>
      <c r="AB10" s="3"/>
      <c r="AC10" s="3" t="s">
        <v>172</v>
      </c>
      <c r="AD10" s="3" t="s">
        <v>78</v>
      </c>
      <c r="AE10" s="3" t="s">
        <v>173</v>
      </c>
      <c r="AF10" s="3" t="s">
        <v>80</v>
      </c>
      <c r="AG10" s="3" t="s">
        <v>81</v>
      </c>
      <c r="AH10" s="3" t="s">
        <v>82</v>
      </c>
      <c r="AI10" s="3" t="s">
        <v>83</v>
      </c>
      <c r="AJ10" s="3" t="s">
        <v>82</v>
      </c>
      <c r="AK10" s="3" t="s">
        <v>83</v>
      </c>
      <c r="AL10" s="3" t="s">
        <v>82</v>
      </c>
      <c r="AM10" s="3" t="s">
        <v>84</v>
      </c>
      <c r="AN10" s="3"/>
      <c r="AO10" s="3" t="n">
        <v>2</v>
      </c>
      <c r="AP10" s="3" t="s">
        <v>85</v>
      </c>
      <c r="AQ10" s="3" t="s">
        <v>73</v>
      </c>
      <c r="AR10" s="3" t="s">
        <v>185</v>
      </c>
      <c r="AS10" s="3" t="s">
        <v>186</v>
      </c>
      <c r="AT10" s="3" t="s">
        <v>187</v>
      </c>
      <c r="AU10" s="3"/>
      <c r="AV10" s="3" t="s">
        <v>188</v>
      </c>
      <c r="AW10" s="3" t="s">
        <v>189</v>
      </c>
      <c r="AX10" s="3" t="s">
        <v>190</v>
      </c>
      <c r="AY10" s="3" t="s">
        <v>80</v>
      </c>
      <c r="AZ10" s="3" t="s">
        <v>81</v>
      </c>
      <c r="BA10" s="3" t="s">
        <v>92</v>
      </c>
      <c r="BB10" s="3" t="s">
        <v>93</v>
      </c>
      <c r="BC10" s="3" t="s">
        <v>92</v>
      </c>
      <c r="BD10" s="3" t="s">
        <v>93</v>
      </c>
      <c r="BE10" s="3" t="s">
        <v>92</v>
      </c>
      <c r="BF10" s="3" t="s">
        <v>94</v>
      </c>
      <c r="BG10" s="3"/>
    </row>
    <row r="11" customFormat="false" ht="15" hidden="false" customHeight="false" outlineLevel="0" collapsed="false">
      <c r="A11" s="2" t="s">
        <v>191</v>
      </c>
      <c r="B11" s="3" t="s">
        <v>192</v>
      </c>
      <c r="C11" s="3" t="s">
        <v>193</v>
      </c>
      <c r="D11" s="4" t="s">
        <v>62</v>
      </c>
      <c r="E11" s="4" t="n">
        <v>10</v>
      </c>
      <c r="F11" s="5" t="str">
        <f aca="false">D11&amp;"-SHIP-"&amp;TEXT(E11,"000")</f>
        <v>20251229-SHIP-010</v>
      </c>
      <c r="G11" s="5" t="str">
        <f aca="false">D11&amp;"-TNDR-"&amp;TEXT(E11,"000")</f>
        <v>20251229-TNDR-010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67</v>
      </c>
      <c r="M11" s="3" t="n">
        <v>500</v>
      </c>
      <c r="N11" s="3" t="s">
        <v>68</v>
      </c>
      <c r="O11" s="3" t="n">
        <v>40000</v>
      </c>
      <c r="P11" s="3" t="s">
        <v>69</v>
      </c>
      <c r="Q11" s="3" t="s">
        <v>98</v>
      </c>
      <c r="R11" s="3" t="s">
        <v>99</v>
      </c>
      <c r="S11" s="3"/>
      <c r="T11" s="3"/>
      <c r="U11" s="3"/>
      <c r="V11" s="3" t="n">
        <v>1</v>
      </c>
      <c r="W11" s="3" t="s">
        <v>72</v>
      </c>
      <c r="X11" s="3" t="s">
        <v>73</v>
      </c>
      <c r="Y11" s="3" t="s">
        <v>194</v>
      </c>
      <c r="Z11" s="3" t="s">
        <v>195</v>
      </c>
      <c r="AA11" s="3" t="s">
        <v>196</v>
      </c>
      <c r="AB11" s="3"/>
      <c r="AC11" s="3" t="s">
        <v>197</v>
      </c>
      <c r="AD11" s="3" t="s">
        <v>78</v>
      </c>
      <c r="AE11" s="3" t="s">
        <v>198</v>
      </c>
      <c r="AF11" s="3" t="s">
        <v>80</v>
      </c>
      <c r="AG11" s="3" t="s">
        <v>81</v>
      </c>
      <c r="AH11" s="3" t="s">
        <v>82</v>
      </c>
      <c r="AI11" s="3" t="s">
        <v>83</v>
      </c>
      <c r="AJ11" s="3" t="s">
        <v>82</v>
      </c>
      <c r="AK11" s="3" t="s">
        <v>83</v>
      </c>
      <c r="AL11" s="3" t="s">
        <v>82</v>
      </c>
      <c r="AM11" s="3" t="s">
        <v>84</v>
      </c>
      <c r="AN11" s="3"/>
      <c r="AO11" s="3" t="n">
        <v>2</v>
      </c>
      <c r="AP11" s="3" t="s">
        <v>85</v>
      </c>
      <c r="AQ11" s="3" t="s">
        <v>73</v>
      </c>
      <c r="AR11" s="3" t="s">
        <v>199</v>
      </c>
      <c r="AS11" s="3" t="s">
        <v>200</v>
      </c>
      <c r="AT11" s="3" t="s">
        <v>201</v>
      </c>
      <c r="AU11" s="3"/>
      <c r="AV11" s="3" t="s">
        <v>202</v>
      </c>
      <c r="AW11" s="3" t="s">
        <v>203</v>
      </c>
      <c r="AX11" s="3" t="s">
        <v>204</v>
      </c>
      <c r="AY11" s="3" t="s">
        <v>80</v>
      </c>
      <c r="AZ11" s="3" t="s">
        <v>81</v>
      </c>
      <c r="BA11" s="3" t="s">
        <v>92</v>
      </c>
      <c r="BB11" s="3" t="s">
        <v>93</v>
      </c>
      <c r="BC11" s="3" t="s">
        <v>92</v>
      </c>
      <c r="BD11" s="3" t="s">
        <v>93</v>
      </c>
      <c r="BE11" s="3" t="s">
        <v>92</v>
      </c>
      <c r="BF11" s="3" t="s">
        <v>94</v>
      </c>
      <c r="BG11" s="3"/>
    </row>
    <row r="12" customFormat="false" ht="15" hidden="false" customHeight="false" outlineLevel="0" collapsed="false">
      <c r="A12" s="2" t="s">
        <v>205</v>
      </c>
      <c r="B12" s="3" t="s">
        <v>206</v>
      </c>
      <c r="C12" s="3" t="s">
        <v>207</v>
      </c>
      <c r="D12" s="4" t="s">
        <v>62</v>
      </c>
      <c r="E12" s="4" t="n">
        <v>11</v>
      </c>
      <c r="F12" s="5" t="str">
        <f aca="false">D12&amp;"-SHIP-"&amp;TEXT(E12,"000")</f>
        <v>20251229-SHIP-011</v>
      </c>
      <c r="G12" s="5" t="str">
        <f aca="false">D12&amp;"-TNDR-"&amp;TEXT(E12,"000")</f>
        <v>20251229-TNDR-011</v>
      </c>
      <c r="H12" s="3" t="s">
        <v>63</v>
      </c>
      <c r="I12" s="3" t="s">
        <v>64</v>
      </c>
      <c r="J12" s="3" t="s">
        <v>65</v>
      </c>
      <c r="K12" s="3" t="s">
        <v>66</v>
      </c>
      <c r="L12" s="3" t="s">
        <v>67</v>
      </c>
      <c r="M12" s="3" t="n">
        <v>500</v>
      </c>
      <c r="N12" s="3" t="s">
        <v>68</v>
      </c>
      <c r="O12" s="3" t="n">
        <v>40000</v>
      </c>
      <c r="P12" s="3" t="s">
        <v>69</v>
      </c>
      <c r="Q12" s="3" t="s">
        <v>70</v>
      </c>
      <c r="R12" s="3" t="s">
        <v>71</v>
      </c>
      <c r="S12" s="3"/>
      <c r="T12" s="3"/>
      <c r="U12" s="3"/>
      <c r="V12" s="3" t="n">
        <v>1</v>
      </c>
      <c r="W12" s="3" t="s">
        <v>72</v>
      </c>
      <c r="X12" s="3" t="s">
        <v>73</v>
      </c>
      <c r="Y12" s="3" t="s">
        <v>208</v>
      </c>
      <c r="Z12" s="3" t="s">
        <v>209</v>
      </c>
      <c r="AA12" s="3" t="s">
        <v>210</v>
      </c>
      <c r="AB12" s="3"/>
      <c r="AC12" s="3" t="s">
        <v>197</v>
      </c>
      <c r="AD12" s="3" t="s">
        <v>78</v>
      </c>
      <c r="AE12" s="3" t="s">
        <v>198</v>
      </c>
      <c r="AF12" s="3" t="s">
        <v>80</v>
      </c>
      <c r="AG12" s="3" t="s">
        <v>81</v>
      </c>
      <c r="AH12" s="3" t="s">
        <v>82</v>
      </c>
      <c r="AI12" s="3" t="s">
        <v>83</v>
      </c>
      <c r="AJ12" s="3" t="s">
        <v>82</v>
      </c>
      <c r="AK12" s="3" t="s">
        <v>83</v>
      </c>
      <c r="AL12" s="3" t="s">
        <v>82</v>
      </c>
      <c r="AM12" s="3" t="s">
        <v>84</v>
      </c>
      <c r="AN12" s="3"/>
      <c r="AO12" s="3" t="n">
        <v>2</v>
      </c>
      <c r="AP12" s="3" t="s">
        <v>85</v>
      </c>
      <c r="AQ12" s="3" t="s">
        <v>73</v>
      </c>
      <c r="AR12" s="3" t="s">
        <v>211</v>
      </c>
      <c r="AS12" s="3" t="s">
        <v>212</v>
      </c>
      <c r="AT12" s="3" t="s">
        <v>213</v>
      </c>
      <c r="AU12" s="3"/>
      <c r="AV12" s="3" t="s">
        <v>214</v>
      </c>
      <c r="AW12" s="3" t="s">
        <v>215</v>
      </c>
      <c r="AX12" s="3" t="s">
        <v>216</v>
      </c>
      <c r="AY12" s="3" t="s">
        <v>80</v>
      </c>
      <c r="AZ12" s="3" t="s">
        <v>81</v>
      </c>
      <c r="BA12" s="3" t="s">
        <v>92</v>
      </c>
      <c r="BB12" s="3" t="s">
        <v>93</v>
      </c>
      <c r="BC12" s="3" t="s">
        <v>92</v>
      </c>
      <c r="BD12" s="3" t="s">
        <v>93</v>
      </c>
      <c r="BE12" s="3" t="s">
        <v>92</v>
      </c>
      <c r="BF12" s="3" t="s">
        <v>94</v>
      </c>
      <c r="BG12" s="3"/>
    </row>
    <row r="13" customFormat="false" ht="15" hidden="false" customHeight="false" outlineLevel="0" collapsed="false">
      <c r="A13" s="2" t="s">
        <v>217</v>
      </c>
      <c r="B13" s="3" t="s">
        <v>218</v>
      </c>
      <c r="C13" s="3" t="s">
        <v>219</v>
      </c>
      <c r="D13" s="4" t="s">
        <v>62</v>
      </c>
      <c r="E13" s="4" t="n">
        <v>12</v>
      </c>
      <c r="F13" s="5" t="str">
        <f aca="false">D13&amp;"-SHIP-"&amp;TEXT(E13,"000")</f>
        <v>20251229-SHIP-012</v>
      </c>
      <c r="G13" s="5" t="str">
        <f aca="false">D13&amp;"-TNDR-"&amp;TEXT(E13,"000")</f>
        <v>20251229-TNDR-012</v>
      </c>
      <c r="H13" s="3" t="s">
        <v>63</v>
      </c>
      <c r="I13" s="3" t="s">
        <v>64</v>
      </c>
      <c r="J13" s="3" t="s">
        <v>65</v>
      </c>
      <c r="K13" s="3" t="s">
        <v>66</v>
      </c>
      <c r="L13" s="3" t="s">
        <v>67</v>
      </c>
      <c r="M13" s="3" t="n">
        <v>500</v>
      </c>
      <c r="N13" s="3" t="s">
        <v>68</v>
      </c>
      <c r="O13" s="3" t="n">
        <v>40000</v>
      </c>
      <c r="P13" s="3" t="s">
        <v>69</v>
      </c>
      <c r="Q13" s="3" t="s">
        <v>98</v>
      </c>
      <c r="R13" s="3" t="s">
        <v>99</v>
      </c>
      <c r="S13" s="3"/>
      <c r="T13" s="3"/>
      <c r="U13" s="3"/>
      <c r="V13" s="3" t="n">
        <v>1</v>
      </c>
      <c r="W13" s="3" t="s">
        <v>72</v>
      </c>
      <c r="X13" s="3" t="s">
        <v>73</v>
      </c>
      <c r="Y13" s="3" t="s">
        <v>220</v>
      </c>
      <c r="Z13" s="3" t="s">
        <v>221</v>
      </c>
      <c r="AA13" s="3" t="s">
        <v>151</v>
      </c>
      <c r="AB13" s="3"/>
      <c r="AC13" s="3" t="s">
        <v>152</v>
      </c>
      <c r="AD13" s="3" t="s">
        <v>141</v>
      </c>
      <c r="AE13" s="3" t="s">
        <v>153</v>
      </c>
      <c r="AF13" s="3" t="s">
        <v>80</v>
      </c>
      <c r="AG13" s="3" t="s">
        <v>81</v>
      </c>
      <c r="AH13" s="3" t="s">
        <v>82</v>
      </c>
      <c r="AI13" s="3" t="s">
        <v>83</v>
      </c>
      <c r="AJ13" s="3" t="s">
        <v>82</v>
      </c>
      <c r="AK13" s="3" t="s">
        <v>83</v>
      </c>
      <c r="AL13" s="3" t="s">
        <v>82</v>
      </c>
      <c r="AM13" s="3" t="s">
        <v>84</v>
      </c>
      <c r="AN13" s="3"/>
      <c r="AO13" s="3" t="n">
        <v>2</v>
      </c>
      <c r="AP13" s="3" t="s">
        <v>85</v>
      </c>
      <c r="AQ13" s="3" t="s">
        <v>73</v>
      </c>
      <c r="AR13" s="3" t="s">
        <v>222</v>
      </c>
      <c r="AS13" s="3" t="s">
        <v>223</v>
      </c>
      <c r="AT13" s="3" t="s">
        <v>224</v>
      </c>
      <c r="AU13" s="3"/>
      <c r="AV13" s="3" t="s">
        <v>225</v>
      </c>
      <c r="AW13" s="3" t="s">
        <v>189</v>
      </c>
      <c r="AX13" s="3" t="s">
        <v>226</v>
      </c>
      <c r="AY13" s="3" t="s">
        <v>80</v>
      </c>
      <c r="AZ13" s="3" t="s">
        <v>81</v>
      </c>
      <c r="BA13" s="3" t="s">
        <v>92</v>
      </c>
      <c r="BB13" s="3" t="s">
        <v>93</v>
      </c>
      <c r="BC13" s="3" t="s">
        <v>92</v>
      </c>
      <c r="BD13" s="3" t="s">
        <v>93</v>
      </c>
      <c r="BE13" s="3" t="s">
        <v>92</v>
      </c>
      <c r="BF13" s="3" t="s">
        <v>94</v>
      </c>
      <c r="BG13" s="3"/>
    </row>
    <row r="14" customFormat="false" ht="15" hidden="false" customHeight="false" outlineLevel="0" collapsed="false">
      <c r="A14" s="2" t="s">
        <v>227</v>
      </c>
      <c r="B14" s="3" t="s">
        <v>228</v>
      </c>
      <c r="C14" s="3" t="s">
        <v>229</v>
      </c>
      <c r="D14" s="4" t="s">
        <v>62</v>
      </c>
      <c r="E14" s="4" t="n">
        <v>13</v>
      </c>
      <c r="F14" s="5" t="str">
        <f aca="false">D14&amp;"-SHIP-"&amp;TEXT(E14,"000")</f>
        <v>20251229-SHIP-013</v>
      </c>
      <c r="G14" s="5" t="str">
        <f aca="false">D14&amp;"-TNDR-"&amp;TEXT(E14,"000")</f>
        <v>20251229-TNDR-013</v>
      </c>
      <c r="H14" s="3" t="s">
        <v>63</v>
      </c>
      <c r="I14" s="3" t="s">
        <v>64</v>
      </c>
      <c r="J14" s="3" t="s">
        <v>65</v>
      </c>
      <c r="K14" s="3" t="s">
        <v>66</v>
      </c>
      <c r="L14" s="3" t="s">
        <v>67</v>
      </c>
      <c r="M14" s="3" t="n">
        <v>500</v>
      </c>
      <c r="N14" s="3" t="s">
        <v>68</v>
      </c>
      <c r="O14" s="3" t="n">
        <v>40000</v>
      </c>
      <c r="P14" s="3" t="s">
        <v>69</v>
      </c>
      <c r="Q14" s="3" t="s">
        <v>70</v>
      </c>
      <c r="R14" s="3" t="s">
        <v>71</v>
      </c>
      <c r="S14" s="3"/>
      <c r="T14" s="3"/>
      <c r="U14" s="3"/>
      <c r="V14" s="3" t="n">
        <v>1</v>
      </c>
      <c r="W14" s="3" t="s">
        <v>72</v>
      </c>
      <c r="X14" s="3" t="s">
        <v>73</v>
      </c>
      <c r="Y14" s="3" t="s">
        <v>230</v>
      </c>
      <c r="Z14" s="3" t="s">
        <v>231</v>
      </c>
      <c r="AA14" s="3" t="s">
        <v>232</v>
      </c>
      <c r="AB14" s="3"/>
      <c r="AC14" s="3" t="s">
        <v>152</v>
      </c>
      <c r="AD14" s="3" t="s">
        <v>141</v>
      </c>
      <c r="AE14" s="3" t="s">
        <v>153</v>
      </c>
      <c r="AF14" s="3" t="s">
        <v>80</v>
      </c>
      <c r="AG14" s="3" t="s">
        <v>81</v>
      </c>
      <c r="AH14" s="3" t="s">
        <v>82</v>
      </c>
      <c r="AI14" s="3" t="s">
        <v>83</v>
      </c>
      <c r="AJ14" s="3" t="s">
        <v>82</v>
      </c>
      <c r="AK14" s="3" t="s">
        <v>83</v>
      </c>
      <c r="AL14" s="3" t="s">
        <v>82</v>
      </c>
      <c r="AM14" s="3" t="s">
        <v>84</v>
      </c>
      <c r="AN14" s="3"/>
      <c r="AO14" s="3" t="n">
        <v>2</v>
      </c>
      <c r="AP14" s="3" t="s">
        <v>85</v>
      </c>
      <c r="AQ14" s="3" t="s">
        <v>73</v>
      </c>
      <c r="AR14" s="3" t="s">
        <v>233</v>
      </c>
      <c r="AS14" s="3" t="s">
        <v>234</v>
      </c>
      <c r="AT14" s="3" t="s">
        <v>235</v>
      </c>
      <c r="AU14" s="3"/>
      <c r="AV14" s="3" t="s">
        <v>236</v>
      </c>
      <c r="AW14" s="3" t="s">
        <v>189</v>
      </c>
      <c r="AX14" s="3" t="s">
        <v>237</v>
      </c>
      <c r="AY14" s="3" t="s">
        <v>80</v>
      </c>
      <c r="AZ14" s="3" t="s">
        <v>81</v>
      </c>
      <c r="BA14" s="3" t="s">
        <v>92</v>
      </c>
      <c r="BB14" s="3" t="s">
        <v>93</v>
      </c>
      <c r="BC14" s="3" t="s">
        <v>92</v>
      </c>
      <c r="BD14" s="3" t="s">
        <v>93</v>
      </c>
      <c r="BE14" s="3" t="s">
        <v>92</v>
      </c>
      <c r="BF14" s="3" t="s">
        <v>94</v>
      </c>
      <c r="BG14" s="3"/>
    </row>
    <row r="15" customFormat="false" ht="15" hidden="false" customHeight="false" outlineLevel="0" collapsed="false">
      <c r="A15" s="2" t="s">
        <v>238</v>
      </c>
      <c r="B15" s="3" t="s">
        <v>239</v>
      </c>
      <c r="C15" s="3" t="s">
        <v>240</v>
      </c>
      <c r="D15" s="4" t="s">
        <v>62</v>
      </c>
      <c r="E15" s="4" t="n">
        <v>14</v>
      </c>
      <c r="F15" s="5" t="str">
        <f aca="false">D15&amp;"-SHIP-"&amp;TEXT(E15,"000")</f>
        <v>20251229-SHIP-014</v>
      </c>
      <c r="G15" s="5" t="str">
        <f aca="false">D15&amp;"-TNDR-"&amp;TEXT(E15,"000")</f>
        <v>20251229-TNDR-014</v>
      </c>
      <c r="H15" s="3" t="s">
        <v>63</v>
      </c>
      <c r="I15" s="3" t="s">
        <v>64</v>
      </c>
      <c r="J15" s="3" t="s">
        <v>65</v>
      </c>
      <c r="K15" s="3" t="s">
        <v>66</v>
      </c>
      <c r="L15" s="3" t="s">
        <v>67</v>
      </c>
      <c r="M15" s="3" t="n">
        <v>500</v>
      </c>
      <c r="N15" s="3" t="s">
        <v>68</v>
      </c>
      <c r="O15" s="3" t="n">
        <v>40000</v>
      </c>
      <c r="P15" s="3" t="s">
        <v>69</v>
      </c>
      <c r="Q15" s="3" t="s">
        <v>98</v>
      </c>
      <c r="R15" s="3" t="s">
        <v>99</v>
      </c>
      <c r="S15" s="3"/>
      <c r="T15" s="3"/>
      <c r="U15" s="3"/>
      <c r="V15" s="3" t="n">
        <v>1</v>
      </c>
      <c r="W15" s="3" t="s">
        <v>72</v>
      </c>
      <c r="X15" s="3" t="s">
        <v>73</v>
      </c>
      <c r="Y15" s="3" t="s">
        <v>241</v>
      </c>
      <c r="Z15" s="3" t="s">
        <v>242</v>
      </c>
      <c r="AA15" s="3" t="s">
        <v>243</v>
      </c>
      <c r="AB15" s="3"/>
      <c r="AC15" s="3" t="s">
        <v>188</v>
      </c>
      <c r="AD15" s="3" t="s">
        <v>189</v>
      </c>
      <c r="AE15" s="3" t="s">
        <v>244</v>
      </c>
      <c r="AF15" s="3" t="s">
        <v>80</v>
      </c>
      <c r="AG15" s="3" t="s">
        <v>81</v>
      </c>
      <c r="AH15" s="3" t="s">
        <v>82</v>
      </c>
      <c r="AI15" s="3" t="s">
        <v>83</v>
      </c>
      <c r="AJ15" s="3" t="s">
        <v>82</v>
      </c>
      <c r="AK15" s="3" t="s">
        <v>83</v>
      </c>
      <c r="AL15" s="3" t="s">
        <v>82</v>
      </c>
      <c r="AM15" s="3" t="s">
        <v>84</v>
      </c>
      <c r="AN15" s="3"/>
      <c r="AO15" s="3" t="n">
        <v>2</v>
      </c>
      <c r="AP15" s="3" t="s">
        <v>85</v>
      </c>
      <c r="AQ15" s="3" t="s">
        <v>73</v>
      </c>
      <c r="AR15" s="3" t="s">
        <v>245</v>
      </c>
      <c r="AS15" s="3" t="s">
        <v>246</v>
      </c>
      <c r="AT15" s="3" t="s">
        <v>247</v>
      </c>
      <c r="AU15" s="3"/>
      <c r="AV15" s="3" t="s">
        <v>248</v>
      </c>
      <c r="AW15" s="3" t="s">
        <v>104</v>
      </c>
      <c r="AX15" s="3" t="s">
        <v>249</v>
      </c>
      <c r="AY15" s="3" t="s">
        <v>80</v>
      </c>
      <c r="AZ15" s="3" t="s">
        <v>81</v>
      </c>
      <c r="BA15" s="3" t="s">
        <v>92</v>
      </c>
      <c r="BB15" s="3" t="s">
        <v>93</v>
      </c>
      <c r="BC15" s="3" t="s">
        <v>92</v>
      </c>
      <c r="BD15" s="3" t="s">
        <v>93</v>
      </c>
      <c r="BE15" s="3" t="s">
        <v>92</v>
      </c>
      <c r="BF15" s="3" t="s">
        <v>94</v>
      </c>
      <c r="BG15" s="3"/>
    </row>
    <row r="16" customFormat="false" ht="15" hidden="false" customHeight="false" outlineLevel="0" collapsed="false">
      <c r="A16" s="2" t="s">
        <v>250</v>
      </c>
      <c r="B16" s="3" t="s">
        <v>251</v>
      </c>
      <c r="C16" s="3" t="s">
        <v>252</v>
      </c>
      <c r="D16" s="4" t="s">
        <v>62</v>
      </c>
      <c r="E16" s="4" t="n">
        <v>15</v>
      </c>
      <c r="F16" s="5" t="str">
        <f aca="false">D16&amp;"-SHIP-"&amp;TEXT(E16,"000")</f>
        <v>20251229-SHIP-015</v>
      </c>
      <c r="G16" s="5" t="str">
        <f aca="false">D16&amp;"-TNDR-"&amp;TEXT(E16,"000")</f>
        <v>20251229-TNDR-015</v>
      </c>
      <c r="H16" s="3" t="s">
        <v>63</v>
      </c>
      <c r="I16" s="3" t="s">
        <v>64</v>
      </c>
      <c r="J16" s="3" t="s">
        <v>65</v>
      </c>
      <c r="K16" s="3" t="s">
        <v>66</v>
      </c>
      <c r="L16" s="3" t="s">
        <v>67</v>
      </c>
      <c r="M16" s="3" t="n">
        <v>500</v>
      </c>
      <c r="N16" s="3" t="s">
        <v>68</v>
      </c>
      <c r="O16" s="3" t="n">
        <v>40000</v>
      </c>
      <c r="P16" s="3" t="s">
        <v>69</v>
      </c>
      <c r="Q16" s="3" t="s">
        <v>70</v>
      </c>
      <c r="R16" s="3" t="s">
        <v>71</v>
      </c>
      <c r="S16" s="3"/>
      <c r="T16" s="3"/>
      <c r="U16" s="3"/>
      <c r="V16" s="3" t="n">
        <v>1</v>
      </c>
      <c r="W16" s="3" t="s">
        <v>72</v>
      </c>
      <c r="X16" s="3" t="s">
        <v>73</v>
      </c>
      <c r="Y16" s="3" t="s">
        <v>253</v>
      </c>
      <c r="Z16" s="3" t="s">
        <v>254</v>
      </c>
      <c r="AA16" s="3" t="s">
        <v>255</v>
      </c>
      <c r="AB16" s="3"/>
      <c r="AC16" s="3" t="s">
        <v>188</v>
      </c>
      <c r="AD16" s="3" t="s">
        <v>189</v>
      </c>
      <c r="AE16" s="3" t="s">
        <v>244</v>
      </c>
      <c r="AF16" s="3" t="s">
        <v>80</v>
      </c>
      <c r="AG16" s="3" t="s">
        <v>81</v>
      </c>
      <c r="AH16" s="3" t="s">
        <v>82</v>
      </c>
      <c r="AI16" s="3" t="s">
        <v>83</v>
      </c>
      <c r="AJ16" s="3" t="s">
        <v>82</v>
      </c>
      <c r="AK16" s="3" t="s">
        <v>83</v>
      </c>
      <c r="AL16" s="3" t="s">
        <v>82</v>
      </c>
      <c r="AM16" s="3" t="s">
        <v>84</v>
      </c>
      <c r="AN16" s="3"/>
      <c r="AO16" s="3" t="n">
        <v>2</v>
      </c>
      <c r="AP16" s="3" t="s">
        <v>85</v>
      </c>
      <c r="AQ16" s="3" t="s">
        <v>73</v>
      </c>
      <c r="AR16" s="3" t="s">
        <v>256</v>
      </c>
      <c r="AS16" s="3" t="s">
        <v>257</v>
      </c>
      <c r="AT16" s="3" t="s">
        <v>258</v>
      </c>
      <c r="AU16" s="3"/>
      <c r="AV16" s="3" t="s">
        <v>259</v>
      </c>
      <c r="AW16" s="3" t="s">
        <v>260</v>
      </c>
      <c r="AX16" s="3" t="s">
        <v>261</v>
      </c>
      <c r="AY16" s="3" t="s">
        <v>80</v>
      </c>
      <c r="AZ16" s="3" t="s">
        <v>81</v>
      </c>
      <c r="BA16" s="3" t="s">
        <v>92</v>
      </c>
      <c r="BB16" s="3" t="s">
        <v>93</v>
      </c>
      <c r="BC16" s="3" t="s">
        <v>92</v>
      </c>
      <c r="BD16" s="3" t="s">
        <v>93</v>
      </c>
      <c r="BE16" s="3" t="s">
        <v>92</v>
      </c>
      <c r="BF16" s="3" t="s">
        <v>94</v>
      </c>
      <c r="BG16" s="3"/>
    </row>
    <row r="17" customFormat="false" ht="15" hidden="false" customHeight="false" outlineLevel="0" collapsed="false">
      <c r="A17" s="2" t="s">
        <v>262</v>
      </c>
      <c r="B17" s="3" t="s">
        <v>263</v>
      </c>
      <c r="C17" s="3" t="s">
        <v>264</v>
      </c>
      <c r="D17" s="4" t="s">
        <v>62</v>
      </c>
      <c r="E17" s="4" t="n">
        <v>16</v>
      </c>
      <c r="F17" s="5" t="str">
        <f aca="false">D17&amp;"-SHIP-"&amp;TEXT(E17,"000")</f>
        <v>20251229-SHIP-016</v>
      </c>
      <c r="G17" s="5" t="str">
        <f aca="false">D17&amp;"-TNDR-"&amp;TEXT(E17,"000")</f>
        <v>20251229-TNDR-016</v>
      </c>
      <c r="H17" s="3" t="s">
        <v>63</v>
      </c>
      <c r="I17" s="3" t="s">
        <v>64</v>
      </c>
      <c r="J17" s="3" t="s">
        <v>65</v>
      </c>
      <c r="K17" s="3" t="s">
        <v>66</v>
      </c>
      <c r="L17" s="3" t="s">
        <v>67</v>
      </c>
      <c r="M17" s="3" t="n">
        <v>500</v>
      </c>
      <c r="N17" s="3" t="s">
        <v>68</v>
      </c>
      <c r="O17" s="3" t="n">
        <v>40000</v>
      </c>
      <c r="P17" s="3" t="s">
        <v>69</v>
      </c>
      <c r="Q17" s="3" t="s">
        <v>98</v>
      </c>
      <c r="R17" s="3" t="s">
        <v>99</v>
      </c>
      <c r="S17" s="3"/>
      <c r="T17" s="3"/>
      <c r="U17" s="3"/>
      <c r="V17" s="3" t="n">
        <v>1</v>
      </c>
      <c r="W17" s="3" t="s">
        <v>72</v>
      </c>
      <c r="X17" s="3" t="s">
        <v>73</v>
      </c>
      <c r="Y17" s="3" t="s">
        <v>265</v>
      </c>
      <c r="Z17" s="3" t="s">
        <v>266</v>
      </c>
      <c r="AA17" s="3" t="s">
        <v>267</v>
      </c>
      <c r="AB17" s="3"/>
      <c r="AC17" s="3" t="s">
        <v>268</v>
      </c>
      <c r="AD17" s="3" t="s">
        <v>269</v>
      </c>
      <c r="AE17" s="3" t="s">
        <v>270</v>
      </c>
      <c r="AF17" s="3" t="s">
        <v>80</v>
      </c>
      <c r="AG17" s="3" t="s">
        <v>81</v>
      </c>
      <c r="AH17" s="3" t="s">
        <v>82</v>
      </c>
      <c r="AI17" s="3" t="s">
        <v>83</v>
      </c>
      <c r="AJ17" s="3" t="s">
        <v>82</v>
      </c>
      <c r="AK17" s="3" t="s">
        <v>83</v>
      </c>
      <c r="AL17" s="3" t="s">
        <v>82</v>
      </c>
      <c r="AM17" s="3" t="s">
        <v>84</v>
      </c>
      <c r="AN17" s="3"/>
      <c r="AO17" s="3" t="n">
        <v>2</v>
      </c>
      <c r="AP17" s="3" t="s">
        <v>85</v>
      </c>
      <c r="AQ17" s="3" t="s">
        <v>73</v>
      </c>
      <c r="AR17" s="3" t="s">
        <v>271</v>
      </c>
      <c r="AS17" s="3" t="s">
        <v>272</v>
      </c>
      <c r="AT17" s="3" t="s">
        <v>273</v>
      </c>
      <c r="AU17" s="3"/>
      <c r="AV17" s="3" t="s">
        <v>274</v>
      </c>
      <c r="AW17" s="3" t="s">
        <v>275</v>
      </c>
      <c r="AX17" s="3" t="s">
        <v>276</v>
      </c>
      <c r="AY17" s="3" t="s">
        <v>80</v>
      </c>
      <c r="AZ17" s="3" t="s">
        <v>81</v>
      </c>
      <c r="BA17" s="3" t="s">
        <v>92</v>
      </c>
      <c r="BB17" s="3" t="s">
        <v>93</v>
      </c>
      <c r="BC17" s="3" t="s">
        <v>92</v>
      </c>
      <c r="BD17" s="3" t="s">
        <v>93</v>
      </c>
      <c r="BE17" s="3" t="s">
        <v>92</v>
      </c>
      <c r="BF17" s="3" t="s">
        <v>94</v>
      </c>
      <c r="BG17" s="3"/>
    </row>
    <row r="18" customFormat="false" ht="15" hidden="false" customHeight="false" outlineLevel="0" collapsed="false">
      <c r="A18" s="2" t="s">
        <v>277</v>
      </c>
      <c r="B18" s="3" t="s">
        <v>278</v>
      </c>
      <c r="C18" s="3" t="s">
        <v>279</v>
      </c>
      <c r="D18" s="4" t="s">
        <v>62</v>
      </c>
      <c r="E18" s="4" t="n">
        <v>17</v>
      </c>
      <c r="F18" s="5" t="str">
        <f aca="false">D18&amp;"-SHIP-"&amp;TEXT(E18,"000")</f>
        <v>20251229-SHIP-017</v>
      </c>
      <c r="G18" s="5" t="str">
        <f aca="false">D18&amp;"-TNDR-"&amp;TEXT(E18,"000")</f>
        <v>20251229-TNDR-017</v>
      </c>
      <c r="H18" s="3" t="s">
        <v>63</v>
      </c>
      <c r="I18" s="3" t="s">
        <v>64</v>
      </c>
      <c r="J18" s="3" t="s">
        <v>65</v>
      </c>
      <c r="K18" s="3" t="s">
        <v>66</v>
      </c>
      <c r="L18" s="3" t="s">
        <v>67</v>
      </c>
      <c r="M18" s="3" t="n">
        <v>500</v>
      </c>
      <c r="N18" s="3" t="s">
        <v>68</v>
      </c>
      <c r="O18" s="3" t="n">
        <v>40000</v>
      </c>
      <c r="P18" s="3" t="s">
        <v>69</v>
      </c>
      <c r="Q18" s="3" t="s">
        <v>70</v>
      </c>
      <c r="R18" s="3" t="s">
        <v>71</v>
      </c>
      <c r="S18" s="3"/>
      <c r="T18" s="3"/>
      <c r="U18" s="3"/>
      <c r="V18" s="3" t="n">
        <v>1</v>
      </c>
      <c r="W18" s="3" t="s">
        <v>72</v>
      </c>
      <c r="X18" s="3" t="s">
        <v>73</v>
      </c>
      <c r="Y18" s="3" t="s">
        <v>280</v>
      </c>
      <c r="Z18" s="3" t="s">
        <v>281</v>
      </c>
      <c r="AA18" s="3" t="s">
        <v>282</v>
      </c>
      <c r="AB18" s="3"/>
      <c r="AC18" s="3" t="s">
        <v>268</v>
      </c>
      <c r="AD18" s="3" t="s">
        <v>269</v>
      </c>
      <c r="AE18" s="3" t="s">
        <v>270</v>
      </c>
      <c r="AF18" s="3" t="s">
        <v>80</v>
      </c>
      <c r="AG18" s="3" t="s">
        <v>81</v>
      </c>
      <c r="AH18" s="3" t="s">
        <v>82</v>
      </c>
      <c r="AI18" s="3" t="s">
        <v>83</v>
      </c>
      <c r="AJ18" s="3" t="s">
        <v>82</v>
      </c>
      <c r="AK18" s="3" t="s">
        <v>83</v>
      </c>
      <c r="AL18" s="3" t="s">
        <v>82</v>
      </c>
      <c r="AM18" s="3" t="s">
        <v>84</v>
      </c>
      <c r="AN18" s="3"/>
      <c r="AO18" s="3" t="n">
        <v>2</v>
      </c>
      <c r="AP18" s="3" t="s">
        <v>85</v>
      </c>
      <c r="AQ18" s="3" t="s">
        <v>73</v>
      </c>
      <c r="AR18" s="3" t="s">
        <v>283</v>
      </c>
      <c r="AS18" s="3" t="s">
        <v>284</v>
      </c>
      <c r="AT18" s="3" t="s">
        <v>285</v>
      </c>
      <c r="AU18" s="3"/>
      <c r="AV18" s="3" t="s">
        <v>286</v>
      </c>
      <c r="AW18" s="3" t="s">
        <v>287</v>
      </c>
      <c r="AX18" s="3" t="s">
        <v>288</v>
      </c>
      <c r="AY18" s="3" t="s">
        <v>80</v>
      </c>
      <c r="AZ18" s="3" t="s">
        <v>81</v>
      </c>
      <c r="BA18" s="3" t="s">
        <v>92</v>
      </c>
      <c r="BB18" s="3" t="s">
        <v>93</v>
      </c>
      <c r="BC18" s="3" t="s">
        <v>92</v>
      </c>
      <c r="BD18" s="3" t="s">
        <v>93</v>
      </c>
      <c r="BE18" s="3" t="s">
        <v>92</v>
      </c>
      <c r="BF18" s="3" t="s">
        <v>94</v>
      </c>
      <c r="BG18" s="3"/>
    </row>
    <row r="19" customFormat="false" ht="15" hidden="false" customHeight="false" outlineLevel="0" collapsed="false">
      <c r="A19" s="2" t="s">
        <v>289</v>
      </c>
      <c r="B19" s="3" t="s">
        <v>290</v>
      </c>
      <c r="C19" s="3" t="s">
        <v>291</v>
      </c>
      <c r="D19" s="4" t="s">
        <v>62</v>
      </c>
      <c r="E19" s="4" t="n">
        <v>18</v>
      </c>
      <c r="F19" s="5" t="str">
        <f aca="false">D19&amp;"-SHIP-"&amp;TEXT(E19,"000")</f>
        <v>20251229-SHIP-018</v>
      </c>
      <c r="G19" s="5" t="str">
        <f aca="false">D19&amp;"-TNDR-"&amp;TEXT(E19,"000")</f>
        <v>20251229-TNDR-018</v>
      </c>
      <c r="H19" s="3" t="s">
        <v>63</v>
      </c>
      <c r="I19" s="3" t="s">
        <v>64</v>
      </c>
      <c r="J19" s="3" t="s">
        <v>65</v>
      </c>
      <c r="K19" s="3" t="s">
        <v>66</v>
      </c>
      <c r="L19" s="3" t="s">
        <v>67</v>
      </c>
      <c r="M19" s="3" t="n">
        <v>500</v>
      </c>
      <c r="N19" s="3" t="s">
        <v>68</v>
      </c>
      <c r="O19" s="3" t="n">
        <v>40000</v>
      </c>
      <c r="P19" s="3" t="s">
        <v>69</v>
      </c>
      <c r="Q19" s="3" t="s">
        <v>98</v>
      </c>
      <c r="R19" s="3" t="s">
        <v>99</v>
      </c>
      <c r="S19" s="3"/>
      <c r="T19" s="3"/>
      <c r="U19" s="3"/>
      <c r="V19" s="3" t="n">
        <v>1</v>
      </c>
      <c r="W19" s="3" t="s">
        <v>72</v>
      </c>
      <c r="X19" s="3" t="s">
        <v>73</v>
      </c>
      <c r="Y19" s="3" t="s">
        <v>292</v>
      </c>
      <c r="Z19" s="3" t="s">
        <v>293</v>
      </c>
      <c r="AA19" s="3" t="s">
        <v>88</v>
      </c>
      <c r="AB19" s="3"/>
      <c r="AC19" s="3" t="s">
        <v>89</v>
      </c>
      <c r="AD19" s="3" t="s">
        <v>90</v>
      </c>
      <c r="AE19" s="3" t="s">
        <v>91</v>
      </c>
      <c r="AF19" s="3" t="s">
        <v>80</v>
      </c>
      <c r="AG19" s="3" t="s">
        <v>81</v>
      </c>
      <c r="AH19" s="3" t="s">
        <v>82</v>
      </c>
      <c r="AI19" s="3" t="s">
        <v>83</v>
      </c>
      <c r="AJ19" s="3" t="s">
        <v>82</v>
      </c>
      <c r="AK19" s="3" t="s">
        <v>83</v>
      </c>
      <c r="AL19" s="3" t="s">
        <v>82</v>
      </c>
      <c r="AM19" s="3" t="s">
        <v>84</v>
      </c>
      <c r="AN19" s="3"/>
      <c r="AO19" s="3" t="n">
        <v>2</v>
      </c>
      <c r="AP19" s="3" t="s">
        <v>85</v>
      </c>
      <c r="AQ19" s="3" t="s">
        <v>73</v>
      </c>
      <c r="AR19" s="3" t="s">
        <v>294</v>
      </c>
      <c r="AS19" s="3" t="s">
        <v>295</v>
      </c>
      <c r="AT19" s="3" t="s">
        <v>296</v>
      </c>
      <c r="AU19" s="3"/>
      <c r="AV19" s="3" t="s">
        <v>297</v>
      </c>
      <c r="AW19" s="3" t="s">
        <v>298</v>
      </c>
      <c r="AX19" s="3" t="s">
        <v>299</v>
      </c>
      <c r="AY19" s="3" t="s">
        <v>80</v>
      </c>
      <c r="AZ19" s="3" t="s">
        <v>81</v>
      </c>
      <c r="BA19" s="3" t="s">
        <v>92</v>
      </c>
      <c r="BB19" s="3" t="s">
        <v>93</v>
      </c>
      <c r="BC19" s="3" t="s">
        <v>92</v>
      </c>
      <c r="BD19" s="3" t="s">
        <v>93</v>
      </c>
      <c r="BE19" s="3" t="s">
        <v>92</v>
      </c>
      <c r="BF19" s="3" t="s">
        <v>94</v>
      </c>
      <c r="BG19" s="3"/>
    </row>
    <row r="20" customFormat="false" ht="15" hidden="false" customHeight="false" outlineLevel="0" collapsed="false">
      <c r="A20" s="2" t="s">
        <v>300</v>
      </c>
      <c r="B20" s="3" t="s">
        <v>301</v>
      </c>
      <c r="C20" s="3" t="s">
        <v>302</v>
      </c>
      <c r="D20" s="4" t="s">
        <v>62</v>
      </c>
      <c r="E20" s="4" t="n">
        <v>19</v>
      </c>
      <c r="F20" s="5" t="str">
        <f aca="false">D20&amp;"-SHIP-"&amp;TEXT(E20,"000")</f>
        <v>20251229-SHIP-019</v>
      </c>
      <c r="G20" s="5" t="str">
        <f aca="false">D20&amp;"-TNDR-"&amp;TEXT(E20,"000")</f>
        <v>20251229-TNDR-019</v>
      </c>
      <c r="H20" s="3" t="s">
        <v>63</v>
      </c>
      <c r="I20" s="3" t="s">
        <v>64</v>
      </c>
      <c r="J20" s="3" t="s">
        <v>65</v>
      </c>
      <c r="K20" s="3" t="s">
        <v>66</v>
      </c>
      <c r="L20" s="3" t="s">
        <v>67</v>
      </c>
      <c r="M20" s="3" t="n">
        <v>500</v>
      </c>
      <c r="N20" s="3" t="s">
        <v>68</v>
      </c>
      <c r="O20" s="3" t="n">
        <v>40000</v>
      </c>
      <c r="P20" s="3" t="s">
        <v>69</v>
      </c>
      <c r="Q20" s="3" t="s">
        <v>70</v>
      </c>
      <c r="R20" s="3" t="s">
        <v>71</v>
      </c>
      <c r="S20" s="3"/>
      <c r="T20" s="3"/>
      <c r="U20" s="3"/>
      <c r="V20" s="3" t="n">
        <v>1</v>
      </c>
      <c r="W20" s="3" t="s">
        <v>72</v>
      </c>
      <c r="X20" s="3" t="s">
        <v>73</v>
      </c>
      <c r="Y20" s="3" t="s">
        <v>303</v>
      </c>
      <c r="Z20" s="3" t="s">
        <v>304</v>
      </c>
      <c r="AA20" s="3" t="s">
        <v>305</v>
      </c>
      <c r="AB20" s="3"/>
      <c r="AC20" s="3" t="s">
        <v>89</v>
      </c>
      <c r="AD20" s="3" t="s">
        <v>90</v>
      </c>
      <c r="AE20" s="3" t="s">
        <v>91</v>
      </c>
      <c r="AF20" s="3" t="s">
        <v>80</v>
      </c>
      <c r="AG20" s="3" t="s">
        <v>81</v>
      </c>
      <c r="AH20" s="3" t="s">
        <v>82</v>
      </c>
      <c r="AI20" s="3" t="s">
        <v>83</v>
      </c>
      <c r="AJ20" s="3" t="s">
        <v>82</v>
      </c>
      <c r="AK20" s="3" t="s">
        <v>83</v>
      </c>
      <c r="AL20" s="3" t="s">
        <v>82</v>
      </c>
      <c r="AM20" s="3" t="s">
        <v>84</v>
      </c>
      <c r="AN20" s="3"/>
      <c r="AO20" s="3" t="n">
        <v>2</v>
      </c>
      <c r="AP20" s="3" t="s">
        <v>85</v>
      </c>
      <c r="AQ20" s="3" t="s">
        <v>73</v>
      </c>
      <c r="AR20" s="3" t="s">
        <v>306</v>
      </c>
      <c r="AS20" s="3" t="s">
        <v>307</v>
      </c>
      <c r="AT20" s="3" t="s">
        <v>308</v>
      </c>
      <c r="AU20" s="3"/>
      <c r="AV20" s="3" t="s">
        <v>309</v>
      </c>
      <c r="AW20" s="3" t="s">
        <v>310</v>
      </c>
      <c r="AX20" s="3" t="s">
        <v>311</v>
      </c>
      <c r="AY20" s="3" t="s">
        <v>80</v>
      </c>
      <c r="AZ20" s="3" t="s">
        <v>81</v>
      </c>
      <c r="BA20" s="3" t="s">
        <v>92</v>
      </c>
      <c r="BB20" s="3" t="s">
        <v>93</v>
      </c>
      <c r="BC20" s="3" t="s">
        <v>92</v>
      </c>
      <c r="BD20" s="3" t="s">
        <v>93</v>
      </c>
      <c r="BE20" s="3" t="s">
        <v>92</v>
      </c>
      <c r="BF20" s="3" t="s">
        <v>94</v>
      </c>
      <c r="BG20" s="3"/>
    </row>
    <row r="21" customFormat="false" ht="15" hidden="false" customHeight="false" outlineLevel="0" collapsed="false">
      <c r="A21" s="2" t="s">
        <v>312</v>
      </c>
      <c r="B21" s="3" t="s">
        <v>313</v>
      </c>
      <c r="C21" s="3" t="s">
        <v>314</v>
      </c>
      <c r="D21" s="4" t="s">
        <v>62</v>
      </c>
      <c r="E21" s="4" t="n">
        <v>20</v>
      </c>
      <c r="F21" s="5" t="str">
        <f aca="false">D21&amp;"-SHIP-"&amp;TEXT(E21,"000")</f>
        <v>20251229-SHIP-020</v>
      </c>
      <c r="G21" s="5" t="str">
        <f aca="false">D21&amp;"-TNDR-"&amp;TEXT(E21,"000")</f>
        <v>20251229-TNDR-020</v>
      </c>
      <c r="H21" s="3" t="s">
        <v>63</v>
      </c>
      <c r="I21" s="3" t="s">
        <v>64</v>
      </c>
      <c r="J21" s="3" t="s">
        <v>65</v>
      </c>
      <c r="K21" s="3" t="s">
        <v>66</v>
      </c>
      <c r="L21" s="3" t="s">
        <v>67</v>
      </c>
      <c r="M21" s="3" t="n">
        <v>500</v>
      </c>
      <c r="N21" s="3" t="s">
        <v>68</v>
      </c>
      <c r="O21" s="3" t="n">
        <v>40000</v>
      </c>
      <c r="P21" s="3" t="s">
        <v>69</v>
      </c>
      <c r="Q21" s="3" t="s">
        <v>98</v>
      </c>
      <c r="R21" s="3" t="s">
        <v>99</v>
      </c>
      <c r="S21" s="3"/>
      <c r="T21" s="3"/>
      <c r="U21" s="3"/>
      <c r="V21" s="3" t="n">
        <v>1</v>
      </c>
      <c r="W21" s="3" t="s">
        <v>72</v>
      </c>
      <c r="X21" s="3" t="s">
        <v>73</v>
      </c>
      <c r="Y21" s="3" t="s">
        <v>315</v>
      </c>
      <c r="Z21" s="3" t="s">
        <v>316</v>
      </c>
      <c r="AA21" s="3" t="s">
        <v>121</v>
      </c>
      <c r="AB21" s="3"/>
      <c r="AC21" s="3" t="s">
        <v>77</v>
      </c>
      <c r="AD21" s="3" t="s">
        <v>78</v>
      </c>
      <c r="AE21" s="3" t="s">
        <v>79</v>
      </c>
      <c r="AF21" s="3" t="s">
        <v>80</v>
      </c>
      <c r="AG21" s="3" t="s">
        <v>81</v>
      </c>
      <c r="AH21" s="3" t="s">
        <v>82</v>
      </c>
      <c r="AI21" s="3" t="s">
        <v>83</v>
      </c>
      <c r="AJ21" s="3" t="s">
        <v>82</v>
      </c>
      <c r="AK21" s="3" t="s">
        <v>83</v>
      </c>
      <c r="AL21" s="3" t="s">
        <v>82</v>
      </c>
      <c r="AM21" s="3" t="s">
        <v>84</v>
      </c>
      <c r="AN21" s="3"/>
      <c r="AO21" s="3" t="n">
        <v>2</v>
      </c>
      <c r="AP21" s="3" t="s">
        <v>85</v>
      </c>
      <c r="AQ21" s="3" t="s">
        <v>73</v>
      </c>
      <c r="AR21" s="3" t="s">
        <v>317</v>
      </c>
      <c r="AS21" s="3" t="s">
        <v>318</v>
      </c>
      <c r="AT21" s="3" t="s">
        <v>319</v>
      </c>
      <c r="AU21" s="3"/>
      <c r="AV21" s="3" t="s">
        <v>320</v>
      </c>
      <c r="AW21" s="3" t="s">
        <v>78</v>
      </c>
      <c r="AX21" s="3" t="s">
        <v>321</v>
      </c>
      <c r="AY21" s="3" t="s">
        <v>80</v>
      </c>
      <c r="AZ21" s="3" t="s">
        <v>81</v>
      </c>
      <c r="BA21" s="3" t="s">
        <v>92</v>
      </c>
      <c r="BB21" s="3" t="s">
        <v>93</v>
      </c>
      <c r="BC21" s="3" t="s">
        <v>92</v>
      </c>
      <c r="BD21" s="3" t="s">
        <v>93</v>
      </c>
      <c r="BE21" s="3" t="s">
        <v>92</v>
      </c>
      <c r="BF21" s="3" t="s">
        <v>94</v>
      </c>
      <c r="BG21" s="3"/>
    </row>
    <row r="22" customFormat="false" ht="15" hidden="false" customHeight="false" outlineLevel="0" collapsed="false">
      <c r="A22" s="2" t="s">
        <v>322</v>
      </c>
      <c r="B22" s="3" t="s">
        <v>323</v>
      </c>
      <c r="C22" s="3" t="s">
        <v>324</v>
      </c>
      <c r="D22" s="4" t="s">
        <v>62</v>
      </c>
      <c r="E22" s="4" t="n">
        <v>21</v>
      </c>
      <c r="F22" s="5" t="str">
        <f aca="false">D22&amp;"-SHIP-"&amp;TEXT(E22,"000")</f>
        <v>20251229-SHIP-021</v>
      </c>
      <c r="G22" s="5" t="str">
        <f aca="false">D22&amp;"-TNDR-"&amp;TEXT(E22,"000")</f>
        <v>20251229-TNDR-021</v>
      </c>
      <c r="H22" s="3" t="s">
        <v>63</v>
      </c>
      <c r="I22" s="3" t="s">
        <v>64</v>
      </c>
      <c r="J22" s="3" t="s">
        <v>65</v>
      </c>
      <c r="K22" s="3" t="s">
        <v>66</v>
      </c>
      <c r="L22" s="3" t="s">
        <v>67</v>
      </c>
      <c r="M22" s="3" t="n">
        <v>500</v>
      </c>
      <c r="N22" s="3" t="s">
        <v>68</v>
      </c>
      <c r="O22" s="3" t="n">
        <v>40000</v>
      </c>
      <c r="P22" s="3" t="s">
        <v>69</v>
      </c>
      <c r="Q22" s="3" t="s">
        <v>70</v>
      </c>
      <c r="R22" s="3" t="s">
        <v>71</v>
      </c>
      <c r="S22" s="3"/>
      <c r="T22" s="3"/>
      <c r="U22" s="3"/>
      <c r="V22" s="3" t="n">
        <v>1</v>
      </c>
      <c r="W22" s="3" t="s">
        <v>72</v>
      </c>
      <c r="X22" s="3" t="s">
        <v>73</v>
      </c>
      <c r="Y22" s="3" t="s">
        <v>325</v>
      </c>
      <c r="Z22" s="3" t="s">
        <v>326</v>
      </c>
      <c r="AA22" s="3" t="s">
        <v>327</v>
      </c>
      <c r="AB22" s="3"/>
      <c r="AC22" s="3" t="s">
        <v>103</v>
      </c>
      <c r="AD22" s="3" t="s">
        <v>104</v>
      </c>
      <c r="AE22" s="3" t="s">
        <v>115</v>
      </c>
      <c r="AF22" s="3" t="s">
        <v>80</v>
      </c>
      <c r="AG22" s="3" t="s">
        <v>81</v>
      </c>
      <c r="AH22" s="3" t="s">
        <v>82</v>
      </c>
      <c r="AI22" s="3" t="s">
        <v>83</v>
      </c>
      <c r="AJ22" s="3" t="s">
        <v>82</v>
      </c>
      <c r="AK22" s="3" t="s">
        <v>83</v>
      </c>
      <c r="AL22" s="3" t="s">
        <v>82</v>
      </c>
      <c r="AM22" s="3" t="s">
        <v>84</v>
      </c>
      <c r="AN22" s="3"/>
      <c r="AO22" s="3" t="n">
        <v>2</v>
      </c>
      <c r="AP22" s="3" t="s">
        <v>85</v>
      </c>
      <c r="AQ22" s="3" t="s">
        <v>73</v>
      </c>
      <c r="AR22" s="3" t="s">
        <v>328</v>
      </c>
      <c r="AS22" s="3" t="s">
        <v>329</v>
      </c>
      <c r="AT22" s="3" t="s">
        <v>330</v>
      </c>
      <c r="AU22" s="3"/>
      <c r="AV22" s="3" t="s">
        <v>331</v>
      </c>
      <c r="AW22" s="3" t="s">
        <v>332</v>
      </c>
      <c r="AX22" s="3" t="s">
        <v>333</v>
      </c>
      <c r="AY22" s="3" t="s">
        <v>80</v>
      </c>
      <c r="AZ22" s="3" t="s">
        <v>81</v>
      </c>
      <c r="BA22" s="3" t="s">
        <v>92</v>
      </c>
      <c r="BB22" s="3" t="s">
        <v>93</v>
      </c>
      <c r="BC22" s="3" t="s">
        <v>92</v>
      </c>
      <c r="BD22" s="3" t="s">
        <v>93</v>
      </c>
      <c r="BE22" s="3" t="s">
        <v>92</v>
      </c>
      <c r="BF22" s="3" t="s">
        <v>94</v>
      </c>
      <c r="BG22" s="3"/>
    </row>
    <row r="23" customFormat="false" ht="15" hidden="false" customHeight="false" outlineLevel="0" collapsed="false">
      <c r="A23" s="2" t="s">
        <v>334</v>
      </c>
      <c r="B23" s="3" t="s">
        <v>335</v>
      </c>
      <c r="C23" s="3" t="s">
        <v>336</v>
      </c>
      <c r="D23" s="4" t="s">
        <v>62</v>
      </c>
      <c r="E23" s="4" t="n">
        <v>22</v>
      </c>
      <c r="F23" s="5" t="str">
        <f aca="false">D23&amp;"-SHIP-"&amp;TEXT(E23,"000")</f>
        <v>20251229-SHIP-022</v>
      </c>
      <c r="G23" s="5" t="str">
        <f aca="false">D23&amp;"-TNDR-"&amp;TEXT(E23,"000")</f>
        <v>20251229-TNDR-022</v>
      </c>
      <c r="H23" s="3" t="s">
        <v>63</v>
      </c>
      <c r="I23" s="3" t="s">
        <v>64</v>
      </c>
      <c r="J23" s="3" t="s">
        <v>65</v>
      </c>
      <c r="K23" s="3" t="s">
        <v>66</v>
      </c>
      <c r="L23" s="3" t="s">
        <v>67</v>
      </c>
      <c r="M23" s="3" t="n">
        <v>500</v>
      </c>
      <c r="N23" s="3" t="s">
        <v>68</v>
      </c>
      <c r="O23" s="3" t="n">
        <v>40000</v>
      </c>
      <c r="P23" s="3" t="s">
        <v>69</v>
      </c>
      <c r="Q23" s="3" t="s">
        <v>98</v>
      </c>
      <c r="R23" s="3" t="s">
        <v>99</v>
      </c>
      <c r="S23" s="3"/>
      <c r="T23" s="3"/>
      <c r="U23" s="3"/>
      <c r="V23" s="3" t="n">
        <v>1</v>
      </c>
      <c r="W23" s="3" t="s">
        <v>72</v>
      </c>
      <c r="X23" s="3" t="s">
        <v>73</v>
      </c>
      <c r="Y23" s="3" t="s">
        <v>337</v>
      </c>
      <c r="Z23" s="3" t="s">
        <v>338</v>
      </c>
      <c r="AA23" s="3" t="s">
        <v>114</v>
      </c>
      <c r="AB23" s="3"/>
      <c r="AC23" s="3" t="s">
        <v>103</v>
      </c>
      <c r="AD23" s="3" t="s">
        <v>104</v>
      </c>
      <c r="AE23" s="3" t="s">
        <v>115</v>
      </c>
      <c r="AF23" s="3" t="s">
        <v>80</v>
      </c>
      <c r="AG23" s="3" t="s">
        <v>81</v>
      </c>
      <c r="AH23" s="3" t="s">
        <v>82</v>
      </c>
      <c r="AI23" s="3" t="s">
        <v>83</v>
      </c>
      <c r="AJ23" s="3" t="s">
        <v>82</v>
      </c>
      <c r="AK23" s="3" t="s">
        <v>83</v>
      </c>
      <c r="AL23" s="3" t="s">
        <v>82</v>
      </c>
      <c r="AM23" s="3" t="s">
        <v>84</v>
      </c>
      <c r="AN23" s="3"/>
      <c r="AO23" s="3" t="n">
        <v>2</v>
      </c>
      <c r="AP23" s="3" t="s">
        <v>85</v>
      </c>
      <c r="AQ23" s="3" t="s">
        <v>73</v>
      </c>
      <c r="AR23" s="3" t="s">
        <v>339</v>
      </c>
      <c r="AS23" s="3" t="s">
        <v>340</v>
      </c>
      <c r="AT23" s="3" t="s">
        <v>341</v>
      </c>
      <c r="AU23" s="3"/>
      <c r="AV23" s="3" t="s">
        <v>342</v>
      </c>
      <c r="AW23" s="3" t="s">
        <v>343</v>
      </c>
      <c r="AX23" s="3" t="s">
        <v>344</v>
      </c>
      <c r="AY23" s="3" t="s">
        <v>80</v>
      </c>
      <c r="AZ23" s="3" t="s">
        <v>81</v>
      </c>
      <c r="BA23" s="3" t="s">
        <v>92</v>
      </c>
      <c r="BB23" s="3" t="s">
        <v>93</v>
      </c>
      <c r="BC23" s="3" t="s">
        <v>92</v>
      </c>
      <c r="BD23" s="3" t="s">
        <v>93</v>
      </c>
      <c r="BE23" s="3" t="s">
        <v>92</v>
      </c>
      <c r="BF23" s="3" t="s">
        <v>94</v>
      </c>
      <c r="BG23" s="3"/>
    </row>
    <row r="24" customFormat="false" ht="15" hidden="false" customHeight="false" outlineLevel="0" collapsed="false">
      <c r="A24" s="2" t="s">
        <v>345</v>
      </c>
      <c r="B24" s="3" t="s">
        <v>346</v>
      </c>
      <c r="C24" s="3" t="s">
        <v>347</v>
      </c>
      <c r="D24" s="4" t="s">
        <v>62</v>
      </c>
      <c r="E24" s="4" t="n">
        <v>23</v>
      </c>
      <c r="F24" s="5" t="str">
        <f aca="false">D24&amp;"-SHIP-"&amp;TEXT(E24,"000")</f>
        <v>20251229-SHIP-023</v>
      </c>
      <c r="G24" s="5" t="str">
        <f aca="false">D24&amp;"-TNDR-"&amp;TEXT(E24,"000")</f>
        <v>20251229-TNDR-023</v>
      </c>
      <c r="H24" s="3" t="s">
        <v>63</v>
      </c>
      <c r="I24" s="3" t="s">
        <v>64</v>
      </c>
      <c r="J24" s="3" t="s">
        <v>65</v>
      </c>
      <c r="K24" s="3" t="s">
        <v>66</v>
      </c>
      <c r="L24" s="3" t="s">
        <v>67</v>
      </c>
      <c r="M24" s="3" t="n">
        <v>500</v>
      </c>
      <c r="N24" s="3" t="s">
        <v>68</v>
      </c>
      <c r="O24" s="3" t="n">
        <v>40000</v>
      </c>
      <c r="P24" s="3" t="s">
        <v>69</v>
      </c>
      <c r="Q24" s="3" t="s">
        <v>70</v>
      </c>
      <c r="R24" s="3" t="s">
        <v>71</v>
      </c>
      <c r="S24" s="3"/>
      <c r="T24" s="3"/>
      <c r="U24" s="3"/>
      <c r="V24" s="3" t="n">
        <v>1</v>
      </c>
      <c r="W24" s="3" t="s">
        <v>72</v>
      </c>
      <c r="X24" s="3" t="s">
        <v>73</v>
      </c>
      <c r="Y24" s="3" t="s">
        <v>348</v>
      </c>
      <c r="Z24" s="3" t="s">
        <v>349</v>
      </c>
      <c r="AA24" s="3" t="s">
        <v>350</v>
      </c>
      <c r="AB24" s="3"/>
      <c r="AC24" s="3" t="s">
        <v>103</v>
      </c>
      <c r="AD24" s="3" t="s">
        <v>104</v>
      </c>
      <c r="AE24" s="3" t="s">
        <v>105</v>
      </c>
      <c r="AF24" s="3" t="s">
        <v>80</v>
      </c>
      <c r="AG24" s="3" t="s">
        <v>81</v>
      </c>
      <c r="AH24" s="3" t="s">
        <v>82</v>
      </c>
      <c r="AI24" s="3" t="s">
        <v>83</v>
      </c>
      <c r="AJ24" s="3" t="s">
        <v>82</v>
      </c>
      <c r="AK24" s="3" t="s">
        <v>83</v>
      </c>
      <c r="AL24" s="3" t="s">
        <v>82</v>
      </c>
      <c r="AM24" s="3" t="s">
        <v>84</v>
      </c>
      <c r="AN24" s="3"/>
      <c r="AO24" s="3" t="n">
        <v>2</v>
      </c>
      <c r="AP24" s="3" t="s">
        <v>85</v>
      </c>
      <c r="AQ24" s="3" t="s">
        <v>73</v>
      </c>
      <c r="AR24" s="3" t="s">
        <v>351</v>
      </c>
      <c r="AS24" s="3" t="s">
        <v>352</v>
      </c>
      <c r="AT24" s="3" t="s">
        <v>353</v>
      </c>
      <c r="AU24" s="3"/>
      <c r="AV24" s="3" t="s">
        <v>354</v>
      </c>
      <c r="AW24" s="3" t="s">
        <v>298</v>
      </c>
      <c r="AX24" s="3" t="s">
        <v>355</v>
      </c>
      <c r="AY24" s="3" t="s">
        <v>80</v>
      </c>
      <c r="AZ24" s="3" t="s">
        <v>81</v>
      </c>
      <c r="BA24" s="3" t="s">
        <v>92</v>
      </c>
      <c r="BB24" s="3" t="s">
        <v>93</v>
      </c>
      <c r="BC24" s="3" t="s">
        <v>92</v>
      </c>
      <c r="BD24" s="3" t="s">
        <v>93</v>
      </c>
      <c r="BE24" s="3" t="s">
        <v>92</v>
      </c>
      <c r="BF24" s="3" t="s">
        <v>94</v>
      </c>
      <c r="BG24" s="3"/>
    </row>
    <row r="25" customFormat="false" ht="15" hidden="false" customHeight="false" outlineLevel="0" collapsed="false">
      <c r="A25" s="2" t="s">
        <v>356</v>
      </c>
      <c r="B25" s="3" t="s">
        <v>357</v>
      </c>
      <c r="C25" s="3" t="s">
        <v>358</v>
      </c>
      <c r="D25" s="4" t="s">
        <v>62</v>
      </c>
      <c r="E25" s="4" t="n">
        <v>24</v>
      </c>
      <c r="F25" s="5" t="str">
        <f aca="false">D25&amp;"-SHIP-"&amp;TEXT(E25,"000")</f>
        <v>20251229-SHIP-024</v>
      </c>
      <c r="G25" s="5" t="str">
        <f aca="false">D25&amp;"-TNDR-"&amp;TEXT(E25,"000")</f>
        <v>20251229-TNDR-024</v>
      </c>
      <c r="H25" s="3" t="s">
        <v>63</v>
      </c>
      <c r="I25" s="3" t="s">
        <v>64</v>
      </c>
      <c r="J25" s="3" t="s">
        <v>65</v>
      </c>
      <c r="K25" s="3" t="s">
        <v>66</v>
      </c>
      <c r="L25" s="3" t="s">
        <v>67</v>
      </c>
      <c r="M25" s="3" t="n">
        <v>500</v>
      </c>
      <c r="N25" s="3" t="s">
        <v>68</v>
      </c>
      <c r="O25" s="3" t="n">
        <v>40000</v>
      </c>
      <c r="P25" s="3" t="s">
        <v>69</v>
      </c>
      <c r="Q25" s="3" t="s">
        <v>98</v>
      </c>
      <c r="R25" s="3" t="s">
        <v>99</v>
      </c>
      <c r="S25" s="3"/>
      <c r="T25" s="3"/>
      <c r="U25" s="3"/>
      <c r="V25" s="3" t="n">
        <v>1</v>
      </c>
      <c r="W25" s="3" t="s">
        <v>72</v>
      </c>
      <c r="X25" s="3" t="s">
        <v>73</v>
      </c>
      <c r="Y25" s="3" t="s">
        <v>359</v>
      </c>
      <c r="Z25" s="3" t="s">
        <v>360</v>
      </c>
      <c r="AA25" s="3" t="s">
        <v>361</v>
      </c>
      <c r="AB25" s="3"/>
      <c r="AC25" s="3" t="s">
        <v>103</v>
      </c>
      <c r="AD25" s="3" t="s">
        <v>104</v>
      </c>
      <c r="AE25" s="3" t="s">
        <v>105</v>
      </c>
      <c r="AF25" s="3" t="s">
        <v>80</v>
      </c>
      <c r="AG25" s="3" t="s">
        <v>81</v>
      </c>
      <c r="AH25" s="3" t="s">
        <v>82</v>
      </c>
      <c r="AI25" s="3" t="s">
        <v>83</v>
      </c>
      <c r="AJ25" s="3" t="s">
        <v>82</v>
      </c>
      <c r="AK25" s="3" t="s">
        <v>83</v>
      </c>
      <c r="AL25" s="3" t="s">
        <v>82</v>
      </c>
      <c r="AM25" s="3" t="s">
        <v>84</v>
      </c>
      <c r="AN25" s="3"/>
      <c r="AO25" s="3" t="n">
        <v>2</v>
      </c>
      <c r="AP25" s="3" t="s">
        <v>85</v>
      </c>
      <c r="AQ25" s="3" t="s">
        <v>73</v>
      </c>
      <c r="AR25" s="3" t="s">
        <v>362</v>
      </c>
      <c r="AS25" s="3" t="s">
        <v>363</v>
      </c>
      <c r="AT25" s="3" t="s">
        <v>364</v>
      </c>
      <c r="AU25" s="3"/>
      <c r="AV25" s="3" t="s">
        <v>365</v>
      </c>
      <c r="AW25" s="3" t="s">
        <v>343</v>
      </c>
      <c r="AX25" s="3" t="s">
        <v>366</v>
      </c>
      <c r="AY25" s="3" t="s">
        <v>80</v>
      </c>
      <c r="AZ25" s="3" t="s">
        <v>81</v>
      </c>
      <c r="BA25" s="3" t="s">
        <v>92</v>
      </c>
      <c r="BB25" s="3" t="s">
        <v>93</v>
      </c>
      <c r="BC25" s="3" t="s">
        <v>92</v>
      </c>
      <c r="BD25" s="3" t="s">
        <v>93</v>
      </c>
      <c r="BE25" s="3" t="s">
        <v>92</v>
      </c>
      <c r="BF25" s="3" t="s">
        <v>94</v>
      </c>
      <c r="BG25" s="3"/>
    </row>
    <row r="26" customFormat="false" ht="15" hidden="false" customHeight="false" outlineLevel="0" collapsed="false">
      <c r="A26" s="2" t="s">
        <v>367</v>
      </c>
      <c r="B26" s="3" t="s">
        <v>368</v>
      </c>
      <c r="C26" s="3" t="s">
        <v>369</v>
      </c>
      <c r="D26" s="4" t="s">
        <v>62</v>
      </c>
      <c r="E26" s="4" t="n">
        <v>25</v>
      </c>
      <c r="F26" s="5" t="str">
        <f aca="false">D26&amp;"-SHIP-"&amp;TEXT(E26,"000")</f>
        <v>20251229-SHIP-025</v>
      </c>
      <c r="G26" s="5" t="str">
        <f aca="false">D26&amp;"-TNDR-"&amp;TEXT(E26,"000")</f>
        <v>20251229-TNDR-025</v>
      </c>
      <c r="H26" s="3" t="s">
        <v>63</v>
      </c>
      <c r="I26" s="3" t="s">
        <v>64</v>
      </c>
      <c r="J26" s="3" t="s">
        <v>65</v>
      </c>
      <c r="K26" s="3" t="s">
        <v>66</v>
      </c>
      <c r="L26" s="3" t="s">
        <v>67</v>
      </c>
      <c r="M26" s="3" t="n">
        <v>500</v>
      </c>
      <c r="N26" s="3" t="s">
        <v>68</v>
      </c>
      <c r="O26" s="3" t="n">
        <v>40000</v>
      </c>
      <c r="P26" s="3" t="s">
        <v>69</v>
      </c>
      <c r="Q26" s="3" t="s">
        <v>70</v>
      </c>
      <c r="R26" s="3" t="s">
        <v>71</v>
      </c>
      <c r="S26" s="3"/>
      <c r="T26" s="3"/>
      <c r="U26" s="3"/>
      <c r="V26" s="3" t="n">
        <v>1</v>
      </c>
      <c r="W26" s="3" t="s">
        <v>72</v>
      </c>
      <c r="X26" s="3" t="s">
        <v>73</v>
      </c>
      <c r="Y26" s="3" t="s">
        <v>370</v>
      </c>
      <c r="Z26" s="3" t="s">
        <v>371</v>
      </c>
      <c r="AA26" s="3" t="s">
        <v>372</v>
      </c>
      <c r="AB26" s="3"/>
      <c r="AC26" s="3" t="s">
        <v>373</v>
      </c>
      <c r="AD26" s="3" t="s">
        <v>374</v>
      </c>
      <c r="AE26" s="3" t="s">
        <v>375</v>
      </c>
      <c r="AF26" s="3" t="s">
        <v>80</v>
      </c>
      <c r="AG26" s="3" t="s">
        <v>81</v>
      </c>
      <c r="AH26" s="3" t="s">
        <v>82</v>
      </c>
      <c r="AI26" s="3" t="s">
        <v>83</v>
      </c>
      <c r="AJ26" s="3" t="s">
        <v>82</v>
      </c>
      <c r="AK26" s="3" t="s">
        <v>83</v>
      </c>
      <c r="AL26" s="3" t="s">
        <v>82</v>
      </c>
      <c r="AM26" s="3" t="s">
        <v>84</v>
      </c>
      <c r="AN26" s="3"/>
      <c r="AO26" s="3" t="n">
        <v>2</v>
      </c>
      <c r="AP26" s="3" t="s">
        <v>85</v>
      </c>
      <c r="AQ26" s="3" t="s">
        <v>73</v>
      </c>
      <c r="AR26" s="3" t="s">
        <v>376</v>
      </c>
      <c r="AS26" s="3" t="s">
        <v>377</v>
      </c>
      <c r="AT26" s="3" t="s">
        <v>378</v>
      </c>
      <c r="AU26" s="3"/>
      <c r="AV26" s="3" t="s">
        <v>379</v>
      </c>
      <c r="AW26" s="3" t="s">
        <v>374</v>
      </c>
      <c r="AX26" s="3" t="s">
        <v>380</v>
      </c>
      <c r="AY26" s="3" t="s">
        <v>80</v>
      </c>
      <c r="AZ26" s="3" t="s">
        <v>81</v>
      </c>
      <c r="BA26" s="3" t="s">
        <v>92</v>
      </c>
      <c r="BB26" s="3" t="s">
        <v>93</v>
      </c>
      <c r="BC26" s="3" t="s">
        <v>92</v>
      </c>
      <c r="BD26" s="3" t="s">
        <v>93</v>
      </c>
      <c r="BE26" s="3" t="s">
        <v>92</v>
      </c>
      <c r="BF26" s="3" t="s">
        <v>94</v>
      </c>
      <c r="BG26" s="3"/>
    </row>
    <row r="27" customFormat="false" ht="15" hidden="false" customHeight="false" outlineLevel="0" collapsed="false">
      <c r="A27" s="2" t="s">
        <v>381</v>
      </c>
      <c r="B27" s="3" t="s">
        <v>382</v>
      </c>
      <c r="C27" s="3" t="s">
        <v>383</v>
      </c>
      <c r="D27" s="4" t="s">
        <v>62</v>
      </c>
      <c r="E27" s="4" t="n">
        <v>26</v>
      </c>
      <c r="F27" s="5" t="str">
        <f aca="false">D27&amp;"-SHIP-"&amp;TEXT(E27,"000")</f>
        <v>20251229-SHIP-026</v>
      </c>
      <c r="G27" s="5" t="str">
        <f aca="false">D27&amp;"-TNDR-"&amp;TEXT(E27,"000")</f>
        <v>20251229-TNDR-026</v>
      </c>
      <c r="H27" s="3" t="s">
        <v>63</v>
      </c>
      <c r="I27" s="3" t="s">
        <v>64</v>
      </c>
      <c r="J27" s="3" t="s">
        <v>65</v>
      </c>
      <c r="K27" s="3" t="s">
        <v>66</v>
      </c>
      <c r="L27" s="3" t="s">
        <v>67</v>
      </c>
      <c r="M27" s="3" t="n">
        <v>500</v>
      </c>
      <c r="N27" s="3" t="s">
        <v>68</v>
      </c>
      <c r="O27" s="3" t="n">
        <v>40000</v>
      </c>
      <c r="P27" s="3" t="s">
        <v>69</v>
      </c>
      <c r="Q27" s="3" t="s">
        <v>98</v>
      </c>
      <c r="R27" s="3" t="s">
        <v>99</v>
      </c>
      <c r="S27" s="3"/>
      <c r="T27" s="3"/>
      <c r="U27" s="3"/>
      <c r="V27" s="3" t="n">
        <v>1</v>
      </c>
      <c r="W27" s="3" t="s">
        <v>72</v>
      </c>
      <c r="X27" s="3" t="s">
        <v>73</v>
      </c>
      <c r="Y27" s="3" t="s">
        <v>384</v>
      </c>
      <c r="Z27" s="3" t="s">
        <v>385</v>
      </c>
      <c r="AA27" s="3" t="s">
        <v>386</v>
      </c>
      <c r="AB27" s="3"/>
      <c r="AC27" s="3" t="s">
        <v>373</v>
      </c>
      <c r="AD27" s="3" t="s">
        <v>374</v>
      </c>
      <c r="AE27" s="3" t="s">
        <v>375</v>
      </c>
      <c r="AF27" s="3" t="s">
        <v>80</v>
      </c>
      <c r="AG27" s="3" t="s">
        <v>81</v>
      </c>
      <c r="AH27" s="3" t="s">
        <v>82</v>
      </c>
      <c r="AI27" s="3" t="s">
        <v>83</v>
      </c>
      <c r="AJ27" s="3" t="s">
        <v>82</v>
      </c>
      <c r="AK27" s="3" t="s">
        <v>83</v>
      </c>
      <c r="AL27" s="3" t="s">
        <v>82</v>
      </c>
      <c r="AM27" s="3" t="s">
        <v>84</v>
      </c>
      <c r="AN27" s="3"/>
      <c r="AO27" s="3" t="n">
        <v>2</v>
      </c>
      <c r="AP27" s="3" t="s">
        <v>85</v>
      </c>
      <c r="AQ27" s="3" t="s">
        <v>73</v>
      </c>
      <c r="AR27" s="3" t="s">
        <v>387</v>
      </c>
      <c r="AS27" s="3" t="s">
        <v>388</v>
      </c>
      <c r="AT27" s="3" t="s">
        <v>389</v>
      </c>
      <c r="AU27" s="3"/>
      <c r="AV27" s="3" t="s">
        <v>390</v>
      </c>
      <c r="AW27" s="3" t="s">
        <v>374</v>
      </c>
      <c r="AX27" s="3" t="s">
        <v>391</v>
      </c>
      <c r="AY27" s="3" t="s">
        <v>80</v>
      </c>
      <c r="AZ27" s="3" t="s">
        <v>81</v>
      </c>
      <c r="BA27" s="3" t="s">
        <v>92</v>
      </c>
      <c r="BB27" s="3" t="s">
        <v>93</v>
      </c>
      <c r="BC27" s="3" t="s">
        <v>92</v>
      </c>
      <c r="BD27" s="3" t="s">
        <v>93</v>
      </c>
      <c r="BE27" s="3" t="s">
        <v>92</v>
      </c>
      <c r="BF27" s="3" t="s">
        <v>94</v>
      </c>
      <c r="BG27" s="3"/>
    </row>
    <row r="28" customFormat="false" ht="15" hidden="false" customHeight="false" outlineLevel="0" collapsed="false">
      <c r="A28" s="2" t="s">
        <v>392</v>
      </c>
      <c r="B28" s="3" t="s">
        <v>393</v>
      </c>
      <c r="C28" s="3" t="s">
        <v>394</v>
      </c>
      <c r="D28" s="4" t="s">
        <v>62</v>
      </c>
      <c r="E28" s="4" t="n">
        <v>27</v>
      </c>
      <c r="F28" s="5" t="str">
        <f aca="false">D28&amp;"-SHIP-"&amp;TEXT(E28,"000")</f>
        <v>20251229-SHIP-027</v>
      </c>
      <c r="G28" s="5" t="str">
        <f aca="false">D28&amp;"-TNDR-"&amp;TEXT(E28,"000")</f>
        <v>20251229-TNDR-027</v>
      </c>
      <c r="H28" s="3" t="s">
        <v>63</v>
      </c>
      <c r="I28" s="3" t="s">
        <v>64</v>
      </c>
      <c r="J28" s="3" t="s">
        <v>65</v>
      </c>
      <c r="K28" s="3" t="s">
        <v>66</v>
      </c>
      <c r="L28" s="3" t="s">
        <v>67</v>
      </c>
      <c r="M28" s="3" t="n">
        <v>500</v>
      </c>
      <c r="N28" s="3" t="s">
        <v>68</v>
      </c>
      <c r="O28" s="3" t="n">
        <v>40000</v>
      </c>
      <c r="P28" s="3" t="s">
        <v>69</v>
      </c>
      <c r="Q28" s="3" t="s">
        <v>70</v>
      </c>
      <c r="R28" s="3" t="s">
        <v>71</v>
      </c>
      <c r="S28" s="3"/>
      <c r="T28" s="3"/>
      <c r="U28" s="3"/>
      <c r="V28" s="3" t="n">
        <v>1</v>
      </c>
      <c r="W28" s="3" t="s">
        <v>72</v>
      </c>
      <c r="X28" s="3" t="s">
        <v>73</v>
      </c>
      <c r="Y28" s="3" t="s">
        <v>395</v>
      </c>
      <c r="Z28" s="3" t="s">
        <v>396</v>
      </c>
      <c r="AA28" s="3" t="s">
        <v>397</v>
      </c>
      <c r="AB28" s="3"/>
      <c r="AC28" s="3" t="s">
        <v>373</v>
      </c>
      <c r="AD28" s="3" t="s">
        <v>374</v>
      </c>
      <c r="AE28" s="3" t="s">
        <v>375</v>
      </c>
      <c r="AF28" s="3" t="s">
        <v>80</v>
      </c>
      <c r="AG28" s="3" t="s">
        <v>81</v>
      </c>
      <c r="AH28" s="3" t="s">
        <v>82</v>
      </c>
      <c r="AI28" s="3" t="s">
        <v>83</v>
      </c>
      <c r="AJ28" s="3" t="s">
        <v>82</v>
      </c>
      <c r="AK28" s="3" t="s">
        <v>83</v>
      </c>
      <c r="AL28" s="3" t="s">
        <v>82</v>
      </c>
      <c r="AM28" s="3" t="s">
        <v>84</v>
      </c>
      <c r="AN28" s="3"/>
      <c r="AO28" s="3" t="n">
        <v>2</v>
      </c>
      <c r="AP28" s="3" t="s">
        <v>85</v>
      </c>
      <c r="AQ28" s="3" t="s">
        <v>73</v>
      </c>
      <c r="AR28" s="3" t="s">
        <v>398</v>
      </c>
      <c r="AS28" s="3" t="s">
        <v>399</v>
      </c>
      <c r="AT28" s="3" t="s">
        <v>400</v>
      </c>
      <c r="AU28" s="3"/>
      <c r="AV28" s="3" t="s">
        <v>401</v>
      </c>
      <c r="AW28" s="3" t="s">
        <v>374</v>
      </c>
      <c r="AX28" s="3" t="s">
        <v>402</v>
      </c>
      <c r="AY28" s="3" t="s">
        <v>80</v>
      </c>
      <c r="AZ28" s="3" t="s">
        <v>81</v>
      </c>
      <c r="BA28" s="3" t="s">
        <v>92</v>
      </c>
      <c r="BB28" s="3" t="s">
        <v>93</v>
      </c>
      <c r="BC28" s="3" t="s">
        <v>92</v>
      </c>
      <c r="BD28" s="3" t="s">
        <v>93</v>
      </c>
      <c r="BE28" s="3" t="s">
        <v>92</v>
      </c>
      <c r="BF28" s="3" t="s">
        <v>94</v>
      </c>
      <c r="BG28" s="3"/>
    </row>
    <row r="29" customFormat="false" ht="15" hidden="false" customHeight="false" outlineLevel="0" collapsed="false">
      <c r="A29" s="2" t="s">
        <v>403</v>
      </c>
      <c r="B29" s="3" t="s">
        <v>404</v>
      </c>
      <c r="C29" s="3" t="s">
        <v>405</v>
      </c>
      <c r="D29" s="4" t="s">
        <v>62</v>
      </c>
      <c r="E29" s="4" t="n">
        <v>28</v>
      </c>
      <c r="F29" s="5" t="str">
        <f aca="false">D29&amp;"-SHIP-"&amp;TEXT(E29,"000")</f>
        <v>20251229-SHIP-028</v>
      </c>
      <c r="G29" s="5" t="str">
        <f aca="false">D29&amp;"-TNDR-"&amp;TEXT(E29,"000")</f>
        <v>20251229-TNDR-028</v>
      </c>
      <c r="H29" s="3" t="s">
        <v>63</v>
      </c>
      <c r="I29" s="3" t="s">
        <v>64</v>
      </c>
      <c r="J29" s="3" t="s">
        <v>65</v>
      </c>
      <c r="K29" s="3" t="s">
        <v>66</v>
      </c>
      <c r="L29" s="3" t="s">
        <v>67</v>
      </c>
      <c r="M29" s="3" t="n">
        <v>500</v>
      </c>
      <c r="N29" s="3" t="s">
        <v>68</v>
      </c>
      <c r="O29" s="3" t="n">
        <v>40000</v>
      </c>
      <c r="P29" s="3" t="s">
        <v>69</v>
      </c>
      <c r="Q29" s="3" t="s">
        <v>98</v>
      </c>
      <c r="R29" s="3" t="s">
        <v>99</v>
      </c>
      <c r="S29" s="3"/>
      <c r="T29" s="3"/>
      <c r="U29" s="3"/>
      <c r="V29" s="3" t="n">
        <v>1</v>
      </c>
      <c r="W29" s="3" t="s">
        <v>72</v>
      </c>
      <c r="X29" s="3" t="s">
        <v>73</v>
      </c>
      <c r="Y29" s="3" t="s">
        <v>406</v>
      </c>
      <c r="Z29" s="3" t="s">
        <v>407</v>
      </c>
      <c r="AA29" s="3" t="s">
        <v>76</v>
      </c>
      <c r="AB29" s="3" t="s">
        <v>408</v>
      </c>
      <c r="AC29" s="3" t="s">
        <v>77</v>
      </c>
      <c r="AD29" s="3" t="s">
        <v>78</v>
      </c>
      <c r="AE29" s="3" t="s">
        <v>79</v>
      </c>
      <c r="AF29" s="3" t="s">
        <v>80</v>
      </c>
      <c r="AG29" s="3" t="s">
        <v>81</v>
      </c>
      <c r="AH29" s="3" t="s">
        <v>82</v>
      </c>
      <c r="AI29" s="3" t="s">
        <v>83</v>
      </c>
      <c r="AJ29" s="3" t="s">
        <v>82</v>
      </c>
      <c r="AK29" s="3" t="s">
        <v>83</v>
      </c>
      <c r="AL29" s="3" t="s">
        <v>82</v>
      </c>
      <c r="AM29" s="3" t="s">
        <v>84</v>
      </c>
      <c r="AN29" s="3"/>
      <c r="AO29" s="3" t="n">
        <v>2</v>
      </c>
      <c r="AP29" s="3" t="s">
        <v>85</v>
      </c>
      <c r="AQ29" s="3" t="s">
        <v>73</v>
      </c>
      <c r="AR29" s="3" t="s">
        <v>409</v>
      </c>
      <c r="AS29" s="3" t="s">
        <v>410</v>
      </c>
      <c r="AT29" s="3" t="s">
        <v>411</v>
      </c>
      <c r="AU29" s="3"/>
      <c r="AV29" s="3" t="s">
        <v>163</v>
      </c>
      <c r="AW29" s="3" t="s">
        <v>164</v>
      </c>
      <c r="AX29" s="3" t="s">
        <v>165</v>
      </c>
      <c r="AY29" s="3" t="s">
        <v>80</v>
      </c>
      <c r="AZ29" s="3" t="s">
        <v>81</v>
      </c>
      <c r="BA29" s="3" t="s">
        <v>92</v>
      </c>
      <c r="BB29" s="3" t="s">
        <v>93</v>
      </c>
      <c r="BC29" s="3" t="s">
        <v>92</v>
      </c>
      <c r="BD29" s="3" t="s">
        <v>93</v>
      </c>
      <c r="BE29" s="3" t="s">
        <v>92</v>
      </c>
      <c r="BF29" s="3" t="s">
        <v>94</v>
      </c>
      <c r="BG29" s="3"/>
    </row>
    <row r="30" customFormat="false" ht="15" hidden="false" customHeight="false" outlineLevel="0" collapsed="false">
      <c r="A30" s="2" t="s">
        <v>412</v>
      </c>
      <c r="B30" s="3" t="s">
        <v>413</v>
      </c>
      <c r="C30" s="3" t="s">
        <v>414</v>
      </c>
      <c r="D30" s="4" t="s">
        <v>62</v>
      </c>
      <c r="E30" s="4" t="n">
        <v>29</v>
      </c>
      <c r="F30" s="5" t="str">
        <f aca="false">D30&amp;"-SHIP-"&amp;TEXT(E30,"000")</f>
        <v>20251229-SHIP-029</v>
      </c>
      <c r="G30" s="5" t="str">
        <f aca="false">D30&amp;"-TNDR-"&amp;TEXT(E30,"000")</f>
        <v>20251229-TNDR-029</v>
      </c>
      <c r="H30" s="3" t="s">
        <v>63</v>
      </c>
      <c r="I30" s="3" t="s">
        <v>64</v>
      </c>
      <c r="J30" s="3" t="s">
        <v>65</v>
      </c>
      <c r="K30" s="3" t="s">
        <v>66</v>
      </c>
      <c r="L30" s="3" t="s">
        <v>67</v>
      </c>
      <c r="M30" s="3" t="n">
        <v>500</v>
      </c>
      <c r="N30" s="3" t="s">
        <v>68</v>
      </c>
      <c r="O30" s="3" t="n">
        <v>40000</v>
      </c>
      <c r="P30" s="3" t="s">
        <v>69</v>
      </c>
      <c r="Q30" s="3" t="s">
        <v>70</v>
      </c>
      <c r="R30" s="3" t="s">
        <v>71</v>
      </c>
      <c r="S30" s="3"/>
      <c r="T30" s="3"/>
      <c r="U30" s="3"/>
      <c r="V30" s="3" t="n">
        <v>1</v>
      </c>
      <c r="W30" s="3" t="s">
        <v>72</v>
      </c>
      <c r="X30" s="3" t="s">
        <v>73</v>
      </c>
      <c r="Y30" s="3" t="s">
        <v>415</v>
      </c>
      <c r="Z30" s="3" t="s">
        <v>416</v>
      </c>
      <c r="AA30" s="3" t="s">
        <v>76</v>
      </c>
      <c r="AB30" s="3" t="s">
        <v>417</v>
      </c>
      <c r="AC30" s="3" t="s">
        <v>77</v>
      </c>
      <c r="AD30" s="3" t="s">
        <v>78</v>
      </c>
      <c r="AE30" s="3" t="s">
        <v>79</v>
      </c>
      <c r="AF30" s="3" t="s">
        <v>80</v>
      </c>
      <c r="AG30" s="3" t="s">
        <v>81</v>
      </c>
      <c r="AH30" s="3" t="s">
        <v>82</v>
      </c>
      <c r="AI30" s="3" t="s">
        <v>83</v>
      </c>
      <c r="AJ30" s="3" t="s">
        <v>82</v>
      </c>
      <c r="AK30" s="3" t="s">
        <v>83</v>
      </c>
      <c r="AL30" s="3" t="s">
        <v>82</v>
      </c>
      <c r="AM30" s="3" t="s">
        <v>84</v>
      </c>
      <c r="AN30" s="3"/>
      <c r="AO30" s="3" t="n">
        <v>2</v>
      </c>
      <c r="AP30" s="3" t="s">
        <v>85</v>
      </c>
      <c r="AQ30" s="3" t="s">
        <v>73</v>
      </c>
      <c r="AR30" s="3" t="s">
        <v>418</v>
      </c>
      <c r="AS30" s="3" t="s">
        <v>419</v>
      </c>
      <c r="AT30" s="3" t="s">
        <v>285</v>
      </c>
      <c r="AU30" s="3"/>
      <c r="AV30" s="3" t="s">
        <v>286</v>
      </c>
      <c r="AW30" s="3" t="s">
        <v>287</v>
      </c>
      <c r="AX30" s="3" t="s">
        <v>288</v>
      </c>
      <c r="AY30" s="3" t="s">
        <v>80</v>
      </c>
      <c r="AZ30" s="3" t="s">
        <v>81</v>
      </c>
      <c r="BA30" s="3" t="s">
        <v>92</v>
      </c>
      <c r="BB30" s="3" t="s">
        <v>93</v>
      </c>
      <c r="BC30" s="3" t="s">
        <v>92</v>
      </c>
      <c r="BD30" s="3" t="s">
        <v>93</v>
      </c>
      <c r="BE30" s="3" t="s">
        <v>92</v>
      </c>
      <c r="BF30" s="3" t="s">
        <v>94</v>
      </c>
      <c r="BG30" s="3"/>
    </row>
    <row r="31" customFormat="false" ht="15" hidden="false" customHeight="false" outlineLevel="0" collapsed="false">
      <c r="A31" s="2" t="s">
        <v>420</v>
      </c>
      <c r="B31" s="3" t="s">
        <v>421</v>
      </c>
      <c r="C31" s="3" t="s">
        <v>422</v>
      </c>
      <c r="D31" s="4" t="s">
        <v>62</v>
      </c>
      <c r="E31" s="4" t="n">
        <v>30</v>
      </c>
      <c r="F31" s="5" t="str">
        <f aca="false">D31&amp;"-SHIP-"&amp;TEXT(E31,"000")</f>
        <v>20251229-SHIP-030</v>
      </c>
      <c r="G31" s="5" t="str">
        <f aca="false">D31&amp;"-TNDR-"&amp;TEXT(E31,"000")</f>
        <v>20251229-TNDR-030</v>
      </c>
      <c r="H31" s="3" t="s">
        <v>63</v>
      </c>
      <c r="I31" s="3" t="s">
        <v>64</v>
      </c>
      <c r="J31" s="3" t="s">
        <v>65</v>
      </c>
      <c r="K31" s="3" t="s">
        <v>66</v>
      </c>
      <c r="L31" s="3" t="s">
        <v>67</v>
      </c>
      <c r="M31" s="3" t="n">
        <v>500</v>
      </c>
      <c r="N31" s="3" t="s">
        <v>68</v>
      </c>
      <c r="O31" s="3" t="n">
        <v>40000</v>
      </c>
      <c r="P31" s="3" t="s">
        <v>69</v>
      </c>
      <c r="Q31" s="3" t="s">
        <v>98</v>
      </c>
      <c r="R31" s="3" t="s">
        <v>99</v>
      </c>
      <c r="S31" s="3"/>
      <c r="T31" s="3"/>
      <c r="U31" s="3"/>
      <c r="V31" s="3" t="n">
        <v>1</v>
      </c>
      <c r="W31" s="3" t="s">
        <v>72</v>
      </c>
      <c r="X31" s="3" t="s">
        <v>73</v>
      </c>
      <c r="Y31" s="3" t="s">
        <v>423</v>
      </c>
      <c r="Z31" s="3" t="s">
        <v>424</v>
      </c>
      <c r="AA31" s="3" t="s">
        <v>76</v>
      </c>
      <c r="AB31" s="3" t="s">
        <v>425</v>
      </c>
      <c r="AC31" s="3" t="s">
        <v>77</v>
      </c>
      <c r="AD31" s="3" t="s">
        <v>78</v>
      </c>
      <c r="AE31" s="3" t="s">
        <v>79</v>
      </c>
      <c r="AF31" s="3" t="s">
        <v>80</v>
      </c>
      <c r="AG31" s="3" t="s">
        <v>81</v>
      </c>
      <c r="AH31" s="3" t="s">
        <v>82</v>
      </c>
      <c r="AI31" s="3" t="s">
        <v>83</v>
      </c>
      <c r="AJ31" s="3" t="s">
        <v>82</v>
      </c>
      <c r="AK31" s="3" t="s">
        <v>83</v>
      </c>
      <c r="AL31" s="3" t="s">
        <v>82</v>
      </c>
      <c r="AM31" s="3" t="s">
        <v>84</v>
      </c>
      <c r="AN31" s="3"/>
      <c r="AO31" s="3" t="n">
        <v>2</v>
      </c>
      <c r="AP31" s="3" t="s">
        <v>85</v>
      </c>
      <c r="AQ31" s="3" t="s">
        <v>73</v>
      </c>
      <c r="AR31" s="3" t="s">
        <v>426</v>
      </c>
      <c r="AS31" s="3" t="s">
        <v>427</v>
      </c>
      <c r="AT31" s="3" t="s">
        <v>162</v>
      </c>
      <c r="AU31" s="3"/>
      <c r="AV31" s="3" t="s">
        <v>163</v>
      </c>
      <c r="AW31" s="3" t="s">
        <v>164</v>
      </c>
      <c r="AX31" s="3" t="s">
        <v>165</v>
      </c>
      <c r="AY31" s="3" t="s">
        <v>80</v>
      </c>
      <c r="AZ31" s="3" t="s">
        <v>81</v>
      </c>
      <c r="BA31" s="3" t="s">
        <v>92</v>
      </c>
      <c r="BB31" s="3" t="s">
        <v>93</v>
      </c>
      <c r="BC31" s="3" t="s">
        <v>92</v>
      </c>
      <c r="BD31" s="3" t="s">
        <v>93</v>
      </c>
      <c r="BE31" s="3" t="s">
        <v>92</v>
      </c>
      <c r="BF31" s="3" t="s">
        <v>94</v>
      </c>
      <c r="BG31" s="3"/>
    </row>
    <row r="32" customFormat="false" ht="15" hidden="false" customHeight="false" outlineLevel="0" collapsed="false">
      <c r="A32" s="2" t="s">
        <v>428</v>
      </c>
      <c r="B32" s="3" t="s">
        <v>429</v>
      </c>
      <c r="C32" s="3" t="s">
        <v>430</v>
      </c>
      <c r="D32" s="4" t="s">
        <v>62</v>
      </c>
      <c r="E32" s="4" t="n">
        <v>31</v>
      </c>
      <c r="F32" s="5" t="str">
        <f aca="false">D32&amp;"-SHIP-"&amp;TEXT(E32,"000")</f>
        <v>20251229-SHIP-031</v>
      </c>
      <c r="G32" s="5" t="str">
        <f aca="false">D32&amp;"-TNDR-"&amp;TEXT(E32,"000")</f>
        <v>20251229-TNDR-031</v>
      </c>
      <c r="H32" s="3" t="s">
        <v>63</v>
      </c>
      <c r="I32" s="3" t="s">
        <v>64</v>
      </c>
      <c r="J32" s="3" t="s">
        <v>65</v>
      </c>
      <c r="K32" s="3" t="s">
        <v>66</v>
      </c>
      <c r="L32" s="3" t="s">
        <v>67</v>
      </c>
      <c r="M32" s="3" t="n">
        <v>500</v>
      </c>
      <c r="N32" s="3" t="s">
        <v>68</v>
      </c>
      <c r="O32" s="3" t="n">
        <v>40000</v>
      </c>
      <c r="P32" s="3" t="s">
        <v>69</v>
      </c>
      <c r="Q32" s="3" t="s">
        <v>70</v>
      </c>
      <c r="R32" s="3" t="s">
        <v>71</v>
      </c>
      <c r="S32" s="3"/>
      <c r="T32" s="3"/>
      <c r="U32" s="3"/>
      <c r="V32" s="3" t="n">
        <v>1</v>
      </c>
      <c r="W32" s="3" t="s">
        <v>72</v>
      </c>
      <c r="X32" s="3" t="s">
        <v>73</v>
      </c>
      <c r="Y32" s="3" t="s">
        <v>431</v>
      </c>
      <c r="Z32" s="3" t="s">
        <v>432</v>
      </c>
      <c r="AA32" s="3" t="s">
        <v>433</v>
      </c>
      <c r="AB32" s="3"/>
      <c r="AC32" s="3" t="s">
        <v>434</v>
      </c>
      <c r="AD32" s="3" t="s">
        <v>435</v>
      </c>
      <c r="AE32" s="3" t="s">
        <v>436</v>
      </c>
      <c r="AF32" s="3" t="s">
        <v>80</v>
      </c>
      <c r="AG32" s="3" t="s">
        <v>81</v>
      </c>
      <c r="AH32" s="3" t="s">
        <v>82</v>
      </c>
      <c r="AI32" s="3" t="s">
        <v>83</v>
      </c>
      <c r="AJ32" s="3" t="s">
        <v>82</v>
      </c>
      <c r="AK32" s="3" t="s">
        <v>83</v>
      </c>
      <c r="AL32" s="3" t="s">
        <v>82</v>
      </c>
      <c r="AM32" s="3" t="s">
        <v>84</v>
      </c>
      <c r="AN32" s="3"/>
      <c r="AO32" s="3" t="n">
        <v>2</v>
      </c>
      <c r="AP32" s="3" t="s">
        <v>85</v>
      </c>
      <c r="AQ32" s="3" t="s">
        <v>73</v>
      </c>
      <c r="AR32" s="3" t="s">
        <v>437</v>
      </c>
      <c r="AS32" s="3" t="s">
        <v>438</v>
      </c>
      <c r="AT32" s="3" t="s">
        <v>439</v>
      </c>
      <c r="AU32" s="3"/>
      <c r="AV32" s="3" t="s">
        <v>440</v>
      </c>
      <c r="AW32" s="3" t="s">
        <v>374</v>
      </c>
      <c r="AX32" s="3" t="s">
        <v>441</v>
      </c>
      <c r="AY32" s="3" t="s">
        <v>80</v>
      </c>
      <c r="AZ32" s="3" t="s">
        <v>81</v>
      </c>
      <c r="BA32" s="3" t="s">
        <v>92</v>
      </c>
      <c r="BB32" s="3" t="s">
        <v>93</v>
      </c>
      <c r="BC32" s="3" t="s">
        <v>92</v>
      </c>
      <c r="BD32" s="3" t="s">
        <v>93</v>
      </c>
      <c r="BE32" s="3" t="s">
        <v>92</v>
      </c>
      <c r="BF32" s="3" t="s">
        <v>94</v>
      </c>
      <c r="BG32" s="3"/>
    </row>
    <row r="33" customFormat="false" ht="15" hidden="false" customHeight="false" outlineLevel="0" collapsed="false">
      <c r="A33" s="2" t="s">
        <v>442</v>
      </c>
      <c r="B33" s="3" t="s">
        <v>443</v>
      </c>
      <c r="C33" s="3" t="s">
        <v>444</v>
      </c>
      <c r="D33" s="4" t="s">
        <v>62</v>
      </c>
      <c r="E33" s="4" t="n">
        <v>32</v>
      </c>
      <c r="F33" s="5" t="str">
        <f aca="false">D33&amp;"-SHIP-"&amp;TEXT(E33,"000")</f>
        <v>20251229-SHIP-032</v>
      </c>
      <c r="G33" s="5" t="str">
        <f aca="false">D33&amp;"-TNDR-"&amp;TEXT(E33,"000")</f>
        <v>20251229-TNDR-032</v>
      </c>
      <c r="H33" s="3" t="s">
        <v>63</v>
      </c>
      <c r="I33" s="3" t="s">
        <v>64</v>
      </c>
      <c r="J33" s="3" t="s">
        <v>65</v>
      </c>
      <c r="K33" s="3" t="s">
        <v>66</v>
      </c>
      <c r="L33" s="3" t="s">
        <v>67</v>
      </c>
      <c r="M33" s="3" t="n">
        <v>500</v>
      </c>
      <c r="N33" s="3" t="s">
        <v>68</v>
      </c>
      <c r="O33" s="3" t="n">
        <v>40000</v>
      </c>
      <c r="P33" s="3" t="s">
        <v>69</v>
      </c>
      <c r="Q33" s="3" t="s">
        <v>98</v>
      </c>
      <c r="R33" s="3" t="s">
        <v>99</v>
      </c>
      <c r="S33" s="3"/>
      <c r="T33" s="3"/>
      <c r="U33" s="3"/>
      <c r="V33" s="3" t="n">
        <v>1</v>
      </c>
      <c r="W33" s="3" t="s">
        <v>72</v>
      </c>
      <c r="X33" s="3" t="s">
        <v>73</v>
      </c>
      <c r="Y33" s="3" t="s">
        <v>445</v>
      </c>
      <c r="Z33" s="3" t="s">
        <v>446</v>
      </c>
      <c r="AA33" s="3" t="s">
        <v>447</v>
      </c>
      <c r="AB33" s="3"/>
      <c r="AC33" s="3" t="s">
        <v>448</v>
      </c>
      <c r="AD33" s="3" t="s">
        <v>374</v>
      </c>
      <c r="AE33" s="3" t="s">
        <v>449</v>
      </c>
      <c r="AF33" s="3" t="s">
        <v>80</v>
      </c>
      <c r="AG33" s="3" t="s">
        <v>81</v>
      </c>
      <c r="AH33" s="3" t="s">
        <v>82</v>
      </c>
      <c r="AI33" s="3" t="s">
        <v>83</v>
      </c>
      <c r="AJ33" s="3" t="s">
        <v>82</v>
      </c>
      <c r="AK33" s="3" t="s">
        <v>83</v>
      </c>
      <c r="AL33" s="3" t="s">
        <v>82</v>
      </c>
      <c r="AM33" s="3" t="s">
        <v>84</v>
      </c>
      <c r="AN33" s="3"/>
      <c r="AO33" s="3" t="n">
        <v>2</v>
      </c>
      <c r="AP33" s="3" t="s">
        <v>85</v>
      </c>
      <c r="AQ33" s="3" t="s">
        <v>73</v>
      </c>
      <c r="AR33" s="3" t="s">
        <v>450</v>
      </c>
      <c r="AS33" s="3" t="s">
        <v>451</v>
      </c>
      <c r="AT33" s="3" t="s">
        <v>452</v>
      </c>
      <c r="AU33" s="3"/>
      <c r="AV33" s="3" t="s">
        <v>453</v>
      </c>
      <c r="AW33" s="3" t="s">
        <v>454</v>
      </c>
      <c r="AX33" s="3" t="s">
        <v>455</v>
      </c>
      <c r="AY33" s="3" t="s">
        <v>80</v>
      </c>
      <c r="AZ33" s="3" t="s">
        <v>81</v>
      </c>
      <c r="BA33" s="3" t="s">
        <v>92</v>
      </c>
      <c r="BB33" s="3" t="s">
        <v>93</v>
      </c>
      <c r="BC33" s="3" t="s">
        <v>92</v>
      </c>
      <c r="BD33" s="3" t="s">
        <v>93</v>
      </c>
      <c r="BE33" s="3" t="s">
        <v>92</v>
      </c>
      <c r="BF33" s="3" t="s">
        <v>94</v>
      </c>
      <c r="BG33" s="3"/>
    </row>
    <row r="34" customFormat="false" ht="15" hidden="false" customHeight="false" outlineLevel="0" collapsed="false">
      <c r="A34" s="2" t="s">
        <v>456</v>
      </c>
      <c r="B34" s="3" t="s">
        <v>457</v>
      </c>
      <c r="C34" s="3" t="s">
        <v>458</v>
      </c>
      <c r="D34" s="4" t="s">
        <v>62</v>
      </c>
      <c r="E34" s="4" t="n">
        <v>33</v>
      </c>
      <c r="F34" s="5" t="str">
        <f aca="false">D34&amp;"-SHIP-"&amp;TEXT(E34,"000")</f>
        <v>20251229-SHIP-033</v>
      </c>
      <c r="G34" s="5" t="str">
        <f aca="false">D34&amp;"-TNDR-"&amp;TEXT(E34,"000")</f>
        <v>20251229-TNDR-033</v>
      </c>
      <c r="H34" s="3" t="s">
        <v>63</v>
      </c>
      <c r="I34" s="3" t="s">
        <v>64</v>
      </c>
      <c r="J34" s="3" t="s">
        <v>65</v>
      </c>
      <c r="K34" s="3" t="s">
        <v>66</v>
      </c>
      <c r="L34" s="3" t="s">
        <v>67</v>
      </c>
      <c r="M34" s="3" t="n">
        <v>500</v>
      </c>
      <c r="N34" s="3" t="s">
        <v>68</v>
      </c>
      <c r="O34" s="3" t="n">
        <v>40000</v>
      </c>
      <c r="P34" s="3" t="s">
        <v>69</v>
      </c>
      <c r="Q34" s="3" t="s">
        <v>70</v>
      </c>
      <c r="R34" s="3" t="s">
        <v>71</v>
      </c>
      <c r="S34" s="3"/>
      <c r="T34" s="3"/>
      <c r="U34" s="3"/>
      <c r="V34" s="3" t="n">
        <v>1</v>
      </c>
      <c r="W34" s="3" t="s">
        <v>72</v>
      </c>
      <c r="X34" s="3" t="s">
        <v>73</v>
      </c>
      <c r="Y34" s="3" t="s">
        <v>459</v>
      </c>
      <c r="Z34" s="3" t="s">
        <v>460</v>
      </c>
      <c r="AA34" s="3" t="s">
        <v>461</v>
      </c>
      <c r="AB34" s="3"/>
      <c r="AC34" s="3" t="s">
        <v>462</v>
      </c>
      <c r="AD34" s="3" t="s">
        <v>78</v>
      </c>
      <c r="AE34" s="3" t="s">
        <v>463</v>
      </c>
      <c r="AF34" s="3" t="s">
        <v>80</v>
      </c>
      <c r="AG34" s="3" t="s">
        <v>81</v>
      </c>
      <c r="AH34" s="3" t="s">
        <v>82</v>
      </c>
      <c r="AI34" s="3" t="s">
        <v>83</v>
      </c>
      <c r="AJ34" s="3" t="s">
        <v>82</v>
      </c>
      <c r="AK34" s="3" t="s">
        <v>83</v>
      </c>
      <c r="AL34" s="3" t="s">
        <v>82</v>
      </c>
      <c r="AM34" s="3" t="s">
        <v>84</v>
      </c>
      <c r="AN34" s="3"/>
      <c r="AO34" s="3" t="n">
        <v>2</v>
      </c>
      <c r="AP34" s="3" t="s">
        <v>85</v>
      </c>
      <c r="AQ34" s="3" t="s">
        <v>73</v>
      </c>
      <c r="AR34" s="3" t="s">
        <v>464</v>
      </c>
      <c r="AS34" s="3" t="s">
        <v>465</v>
      </c>
      <c r="AT34" s="3" t="s">
        <v>224</v>
      </c>
      <c r="AU34" s="3"/>
      <c r="AV34" s="3" t="s">
        <v>225</v>
      </c>
      <c r="AW34" s="3" t="s">
        <v>189</v>
      </c>
      <c r="AX34" s="3" t="s">
        <v>226</v>
      </c>
      <c r="AY34" s="3" t="s">
        <v>80</v>
      </c>
      <c r="AZ34" s="3" t="s">
        <v>81</v>
      </c>
      <c r="BA34" s="3" t="s">
        <v>92</v>
      </c>
      <c r="BB34" s="3" t="s">
        <v>93</v>
      </c>
      <c r="BC34" s="3" t="s">
        <v>92</v>
      </c>
      <c r="BD34" s="3" t="s">
        <v>93</v>
      </c>
      <c r="BE34" s="3" t="s">
        <v>92</v>
      </c>
      <c r="BF34" s="3" t="s">
        <v>94</v>
      </c>
      <c r="BG34" s="3"/>
    </row>
    <row r="35" customFormat="false" ht="15" hidden="false" customHeight="false" outlineLevel="0" collapsed="false">
      <c r="A35" s="2" t="s">
        <v>466</v>
      </c>
      <c r="B35" s="3" t="s">
        <v>467</v>
      </c>
      <c r="C35" s="3" t="s">
        <v>468</v>
      </c>
      <c r="D35" s="4" t="s">
        <v>62</v>
      </c>
      <c r="E35" s="4" t="n">
        <v>34</v>
      </c>
      <c r="F35" s="5" t="str">
        <f aca="false">D35&amp;"-SHIP-"&amp;TEXT(E35,"000")</f>
        <v>20251229-SHIP-034</v>
      </c>
      <c r="G35" s="5" t="str">
        <f aca="false">D35&amp;"-TNDR-"&amp;TEXT(E35,"000")</f>
        <v>20251229-TNDR-034</v>
      </c>
      <c r="H35" s="3" t="s">
        <v>63</v>
      </c>
      <c r="I35" s="3" t="s">
        <v>64</v>
      </c>
      <c r="J35" s="3" t="s">
        <v>65</v>
      </c>
      <c r="K35" s="3" t="s">
        <v>66</v>
      </c>
      <c r="L35" s="3" t="s">
        <v>67</v>
      </c>
      <c r="M35" s="3" t="n">
        <v>500</v>
      </c>
      <c r="N35" s="3" t="s">
        <v>68</v>
      </c>
      <c r="O35" s="3" t="n">
        <v>40000</v>
      </c>
      <c r="P35" s="3" t="s">
        <v>69</v>
      </c>
      <c r="Q35" s="3" t="s">
        <v>98</v>
      </c>
      <c r="R35" s="3" t="s">
        <v>99</v>
      </c>
      <c r="S35" s="3"/>
      <c r="T35" s="3"/>
      <c r="U35" s="3"/>
      <c r="V35" s="3" t="n">
        <v>1</v>
      </c>
      <c r="W35" s="3" t="s">
        <v>72</v>
      </c>
      <c r="X35" s="3" t="s">
        <v>73</v>
      </c>
      <c r="Y35" s="3" t="s">
        <v>469</v>
      </c>
      <c r="Z35" s="3" t="s">
        <v>470</v>
      </c>
      <c r="AA35" s="3" t="s">
        <v>114</v>
      </c>
      <c r="AB35" s="3"/>
      <c r="AC35" s="3" t="s">
        <v>103</v>
      </c>
      <c r="AD35" s="3" t="s">
        <v>104</v>
      </c>
      <c r="AE35" s="3" t="s">
        <v>115</v>
      </c>
      <c r="AF35" s="3" t="s">
        <v>80</v>
      </c>
      <c r="AG35" s="3" t="s">
        <v>81</v>
      </c>
      <c r="AH35" s="3" t="s">
        <v>82</v>
      </c>
      <c r="AI35" s="3" t="s">
        <v>83</v>
      </c>
      <c r="AJ35" s="3" t="s">
        <v>82</v>
      </c>
      <c r="AK35" s="3" t="s">
        <v>83</v>
      </c>
      <c r="AL35" s="3" t="s">
        <v>82</v>
      </c>
      <c r="AM35" s="3" t="s">
        <v>84</v>
      </c>
      <c r="AN35" s="3"/>
      <c r="AO35" s="3" t="n">
        <v>2</v>
      </c>
      <c r="AP35" s="3" t="s">
        <v>85</v>
      </c>
      <c r="AQ35" s="3" t="s">
        <v>73</v>
      </c>
      <c r="AR35" s="3" t="s">
        <v>471</v>
      </c>
      <c r="AS35" s="3" t="s">
        <v>246</v>
      </c>
      <c r="AT35" s="3" t="s">
        <v>247</v>
      </c>
      <c r="AU35" s="3"/>
      <c r="AV35" s="3" t="s">
        <v>248</v>
      </c>
      <c r="AW35" s="3" t="s">
        <v>104</v>
      </c>
      <c r="AX35" s="3" t="s">
        <v>249</v>
      </c>
      <c r="AY35" s="3" t="s">
        <v>80</v>
      </c>
      <c r="AZ35" s="3" t="s">
        <v>81</v>
      </c>
      <c r="BA35" s="3" t="s">
        <v>92</v>
      </c>
      <c r="BB35" s="3" t="s">
        <v>93</v>
      </c>
      <c r="BC35" s="3" t="s">
        <v>92</v>
      </c>
      <c r="BD35" s="3" t="s">
        <v>93</v>
      </c>
      <c r="BE35" s="3" t="s">
        <v>92</v>
      </c>
      <c r="BF35" s="3" t="s">
        <v>94</v>
      </c>
      <c r="BG35" s="3"/>
    </row>
    <row r="36" customFormat="false" ht="15" hidden="false" customHeight="false" outlineLevel="0" collapsed="false">
      <c r="A36" s="2" t="s">
        <v>472</v>
      </c>
      <c r="B36" s="3" t="s">
        <v>473</v>
      </c>
      <c r="C36" s="3" t="s">
        <v>474</v>
      </c>
      <c r="D36" s="4" t="s">
        <v>62</v>
      </c>
      <c r="E36" s="4" t="n">
        <v>35</v>
      </c>
      <c r="F36" s="5" t="str">
        <f aca="false">D36&amp;"-SHIP-"&amp;TEXT(E36,"000")</f>
        <v>20251229-SHIP-035</v>
      </c>
      <c r="G36" s="5" t="str">
        <f aca="false">D36&amp;"-TNDR-"&amp;TEXT(E36,"000")</f>
        <v>20251229-TNDR-035</v>
      </c>
      <c r="H36" s="3" t="s">
        <v>63</v>
      </c>
      <c r="I36" s="3" t="s">
        <v>64</v>
      </c>
      <c r="J36" s="3" t="s">
        <v>65</v>
      </c>
      <c r="K36" s="3" t="s">
        <v>66</v>
      </c>
      <c r="L36" s="3" t="s">
        <v>67</v>
      </c>
      <c r="M36" s="3" t="n">
        <v>500</v>
      </c>
      <c r="N36" s="3" t="s">
        <v>68</v>
      </c>
      <c r="O36" s="3" t="n">
        <v>40000</v>
      </c>
      <c r="P36" s="3" t="s">
        <v>69</v>
      </c>
      <c r="Q36" s="3" t="s">
        <v>70</v>
      </c>
      <c r="R36" s="3" t="s">
        <v>71</v>
      </c>
      <c r="S36" s="3"/>
      <c r="T36" s="3"/>
      <c r="U36" s="3"/>
      <c r="V36" s="3" t="n">
        <v>1</v>
      </c>
      <c r="W36" s="3" t="s">
        <v>72</v>
      </c>
      <c r="X36" s="3" t="s">
        <v>73</v>
      </c>
      <c r="Y36" s="3" t="s">
        <v>475</v>
      </c>
      <c r="Z36" s="3" t="s">
        <v>476</v>
      </c>
      <c r="AA36" s="3" t="s">
        <v>114</v>
      </c>
      <c r="AB36" s="3"/>
      <c r="AC36" s="3" t="s">
        <v>103</v>
      </c>
      <c r="AD36" s="3" t="s">
        <v>104</v>
      </c>
      <c r="AE36" s="3" t="s">
        <v>115</v>
      </c>
      <c r="AF36" s="3" t="s">
        <v>80</v>
      </c>
      <c r="AG36" s="3" t="s">
        <v>81</v>
      </c>
      <c r="AH36" s="3" t="s">
        <v>82</v>
      </c>
      <c r="AI36" s="3" t="s">
        <v>83</v>
      </c>
      <c r="AJ36" s="3" t="s">
        <v>82</v>
      </c>
      <c r="AK36" s="3" t="s">
        <v>83</v>
      </c>
      <c r="AL36" s="3" t="s">
        <v>82</v>
      </c>
      <c r="AM36" s="3" t="s">
        <v>84</v>
      </c>
      <c r="AN36" s="3"/>
      <c r="AO36" s="3" t="n">
        <v>2</v>
      </c>
      <c r="AP36" s="3" t="s">
        <v>85</v>
      </c>
      <c r="AQ36" s="3" t="s">
        <v>73</v>
      </c>
      <c r="AR36" s="3" t="s">
        <v>477</v>
      </c>
      <c r="AS36" s="3" t="s">
        <v>478</v>
      </c>
      <c r="AT36" s="3" t="s">
        <v>479</v>
      </c>
      <c r="AU36" s="3"/>
      <c r="AV36" s="3" t="s">
        <v>480</v>
      </c>
      <c r="AW36" s="3" t="s">
        <v>78</v>
      </c>
      <c r="AX36" s="3" t="s">
        <v>481</v>
      </c>
      <c r="AY36" s="3" t="s">
        <v>80</v>
      </c>
      <c r="AZ36" s="3" t="s">
        <v>81</v>
      </c>
      <c r="BA36" s="3" t="s">
        <v>92</v>
      </c>
      <c r="BB36" s="3" t="s">
        <v>93</v>
      </c>
      <c r="BC36" s="3" t="s">
        <v>92</v>
      </c>
      <c r="BD36" s="3" t="s">
        <v>93</v>
      </c>
      <c r="BE36" s="3" t="s">
        <v>92</v>
      </c>
      <c r="BF36" s="3" t="s">
        <v>94</v>
      </c>
      <c r="BG36" s="3"/>
    </row>
    <row r="37" customFormat="false" ht="15" hidden="false" customHeight="false" outlineLevel="0" collapsed="false">
      <c r="A37" s="2" t="s">
        <v>482</v>
      </c>
      <c r="B37" s="3" t="s">
        <v>483</v>
      </c>
      <c r="C37" s="3" t="s">
        <v>484</v>
      </c>
      <c r="D37" s="4" t="s">
        <v>62</v>
      </c>
      <c r="E37" s="4" t="n">
        <v>36</v>
      </c>
      <c r="F37" s="5" t="str">
        <f aca="false">D37&amp;"-SHIP-"&amp;TEXT(E37,"000")</f>
        <v>20251229-SHIP-036</v>
      </c>
      <c r="G37" s="5" t="str">
        <f aca="false">D37&amp;"-TNDR-"&amp;TEXT(E37,"000")</f>
        <v>20251229-TNDR-036</v>
      </c>
      <c r="H37" s="3" t="s">
        <v>63</v>
      </c>
      <c r="I37" s="3" t="s">
        <v>64</v>
      </c>
      <c r="J37" s="3" t="s">
        <v>65</v>
      </c>
      <c r="K37" s="3" t="s">
        <v>66</v>
      </c>
      <c r="L37" s="3" t="s">
        <v>67</v>
      </c>
      <c r="M37" s="3" t="n">
        <v>500</v>
      </c>
      <c r="N37" s="3" t="s">
        <v>68</v>
      </c>
      <c r="O37" s="3" t="n">
        <v>40000</v>
      </c>
      <c r="P37" s="3" t="s">
        <v>69</v>
      </c>
      <c r="Q37" s="3" t="s">
        <v>98</v>
      </c>
      <c r="R37" s="3" t="s">
        <v>99</v>
      </c>
      <c r="S37" s="3"/>
      <c r="T37" s="3"/>
      <c r="U37" s="3"/>
      <c r="V37" s="3" t="n">
        <v>1</v>
      </c>
      <c r="W37" s="3" t="s">
        <v>72</v>
      </c>
      <c r="X37" s="3" t="s">
        <v>73</v>
      </c>
      <c r="Y37" s="3" t="s">
        <v>485</v>
      </c>
      <c r="Z37" s="3" t="s">
        <v>486</v>
      </c>
      <c r="AA37" s="3" t="s">
        <v>114</v>
      </c>
      <c r="AB37" s="3"/>
      <c r="AC37" s="3" t="s">
        <v>103</v>
      </c>
      <c r="AD37" s="3" t="s">
        <v>104</v>
      </c>
      <c r="AE37" s="3" t="s">
        <v>115</v>
      </c>
      <c r="AF37" s="3" t="s">
        <v>80</v>
      </c>
      <c r="AG37" s="3" t="s">
        <v>81</v>
      </c>
      <c r="AH37" s="3" t="s">
        <v>82</v>
      </c>
      <c r="AI37" s="3" t="s">
        <v>83</v>
      </c>
      <c r="AJ37" s="3" t="s">
        <v>82</v>
      </c>
      <c r="AK37" s="3" t="s">
        <v>83</v>
      </c>
      <c r="AL37" s="3" t="s">
        <v>82</v>
      </c>
      <c r="AM37" s="3" t="s">
        <v>84</v>
      </c>
      <c r="AN37" s="3"/>
      <c r="AO37" s="3" t="n">
        <v>2</v>
      </c>
      <c r="AP37" s="3" t="s">
        <v>85</v>
      </c>
      <c r="AQ37" s="3" t="s">
        <v>73</v>
      </c>
      <c r="AR37" s="3" t="s">
        <v>487</v>
      </c>
      <c r="AS37" s="3" t="s">
        <v>488</v>
      </c>
      <c r="AT37" s="3" t="s">
        <v>489</v>
      </c>
      <c r="AU37" s="3"/>
      <c r="AV37" s="3" t="s">
        <v>490</v>
      </c>
      <c r="AW37" s="3" t="s">
        <v>78</v>
      </c>
      <c r="AX37" s="3" t="s">
        <v>491</v>
      </c>
      <c r="AY37" s="3" t="s">
        <v>80</v>
      </c>
      <c r="AZ37" s="3" t="s">
        <v>81</v>
      </c>
      <c r="BA37" s="3" t="s">
        <v>92</v>
      </c>
      <c r="BB37" s="3" t="s">
        <v>93</v>
      </c>
      <c r="BC37" s="3" t="s">
        <v>92</v>
      </c>
      <c r="BD37" s="3" t="s">
        <v>93</v>
      </c>
      <c r="BE37" s="3" t="s">
        <v>92</v>
      </c>
      <c r="BF37" s="3" t="s">
        <v>94</v>
      </c>
      <c r="BG37" s="3"/>
    </row>
    <row r="38" customFormat="false" ht="15" hidden="false" customHeight="false" outlineLevel="0" collapsed="false">
      <c r="A38" s="2" t="s">
        <v>492</v>
      </c>
      <c r="B38" s="3" t="s">
        <v>493</v>
      </c>
      <c r="C38" s="3" t="s">
        <v>494</v>
      </c>
      <c r="D38" s="4" t="s">
        <v>62</v>
      </c>
      <c r="E38" s="4" t="n">
        <v>37</v>
      </c>
      <c r="F38" s="5" t="str">
        <f aca="false">D38&amp;"-SHIP-"&amp;TEXT(E38,"000")</f>
        <v>20251229-SHIP-037</v>
      </c>
      <c r="G38" s="5" t="str">
        <f aca="false">D38&amp;"-TNDR-"&amp;TEXT(E38,"000")</f>
        <v>20251229-TNDR-037</v>
      </c>
      <c r="H38" s="3" t="s">
        <v>63</v>
      </c>
      <c r="I38" s="3" t="s">
        <v>64</v>
      </c>
      <c r="J38" s="3" t="s">
        <v>65</v>
      </c>
      <c r="K38" s="3" t="s">
        <v>66</v>
      </c>
      <c r="L38" s="3" t="s">
        <v>67</v>
      </c>
      <c r="M38" s="3" t="n">
        <v>500</v>
      </c>
      <c r="N38" s="3" t="s">
        <v>68</v>
      </c>
      <c r="O38" s="3" t="n">
        <v>40000</v>
      </c>
      <c r="P38" s="3" t="s">
        <v>69</v>
      </c>
      <c r="Q38" s="3" t="s">
        <v>70</v>
      </c>
      <c r="R38" s="3" t="s">
        <v>71</v>
      </c>
      <c r="S38" s="3"/>
      <c r="T38" s="3"/>
      <c r="U38" s="3"/>
      <c r="V38" s="3" t="n">
        <v>1</v>
      </c>
      <c r="W38" s="3" t="s">
        <v>72</v>
      </c>
      <c r="X38" s="3" t="s">
        <v>73</v>
      </c>
      <c r="Y38" s="3" t="s">
        <v>495</v>
      </c>
      <c r="Z38" s="3" t="s">
        <v>496</v>
      </c>
      <c r="AA38" s="3" t="s">
        <v>133</v>
      </c>
      <c r="AB38" s="3"/>
      <c r="AC38" s="3" t="s">
        <v>134</v>
      </c>
      <c r="AD38" s="3" t="s">
        <v>135</v>
      </c>
      <c r="AE38" s="3" t="s">
        <v>136</v>
      </c>
      <c r="AF38" s="3" t="s">
        <v>80</v>
      </c>
      <c r="AG38" s="3" t="s">
        <v>81</v>
      </c>
      <c r="AH38" s="3" t="s">
        <v>82</v>
      </c>
      <c r="AI38" s="3" t="s">
        <v>83</v>
      </c>
      <c r="AJ38" s="3" t="s">
        <v>82</v>
      </c>
      <c r="AK38" s="3" t="s">
        <v>83</v>
      </c>
      <c r="AL38" s="3" t="s">
        <v>82</v>
      </c>
      <c r="AM38" s="3" t="s">
        <v>84</v>
      </c>
      <c r="AN38" s="3"/>
      <c r="AO38" s="3" t="n">
        <v>2</v>
      </c>
      <c r="AP38" s="3" t="s">
        <v>85</v>
      </c>
      <c r="AQ38" s="3" t="s">
        <v>73</v>
      </c>
      <c r="AR38" s="3" t="s">
        <v>497</v>
      </c>
      <c r="AS38" s="3" t="s">
        <v>498</v>
      </c>
      <c r="AT38" s="3" t="s">
        <v>499</v>
      </c>
      <c r="AU38" s="3"/>
      <c r="AV38" s="3" t="s">
        <v>500</v>
      </c>
      <c r="AW38" s="3" t="s">
        <v>501</v>
      </c>
      <c r="AX38" s="3" t="s">
        <v>502</v>
      </c>
      <c r="AY38" s="3" t="s">
        <v>80</v>
      </c>
      <c r="AZ38" s="3" t="s">
        <v>81</v>
      </c>
      <c r="BA38" s="3" t="s">
        <v>92</v>
      </c>
      <c r="BB38" s="3" t="s">
        <v>93</v>
      </c>
      <c r="BC38" s="3" t="s">
        <v>92</v>
      </c>
      <c r="BD38" s="3" t="s">
        <v>93</v>
      </c>
      <c r="BE38" s="3" t="s">
        <v>92</v>
      </c>
      <c r="BF38" s="3" t="s">
        <v>94</v>
      </c>
      <c r="BG38" s="3"/>
    </row>
    <row r="39" customFormat="false" ht="15" hidden="false" customHeight="false" outlineLevel="0" collapsed="false">
      <c r="A39" s="2" t="s">
        <v>503</v>
      </c>
      <c r="B39" s="3" t="s">
        <v>504</v>
      </c>
      <c r="C39" s="3" t="s">
        <v>505</v>
      </c>
      <c r="D39" s="4" t="s">
        <v>62</v>
      </c>
      <c r="E39" s="4" t="n">
        <v>38</v>
      </c>
      <c r="F39" s="5" t="str">
        <f aca="false">D39&amp;"-SHIP-"&amp;TEXT(E39,"000")</f>
        <v>20251229-SHIP-038</v>
      </c>
      <c r="G39" s="5" t="str">
        <f aca="false">D39&amp;"-TNDR-"&amp;TEXT(E39,"000")</f>
        <v>20251229-TNDR-038</v>
      </c>
      <c r="H39" s="3" t="s">
        <v>63</v>
      </c>
      <c r="I39" s="3" t="s">
        <v>64</v>
      </c>
      <c r="J39" s="3" t="s">
        <v>65</v>
      </c>
      <c r="K39" s="3" t="s">
        <v>66</v>
      </c>
      <c r="L39" s="3" t="s">
        <v>67</v>
      </c>
      <c r="M39" s="3" t="n">
        <v>500</v>
      </c>
      <c r="N39" s="3" t="s">
        <v>68</v>
      </c>
      <c r="O39" s="3" t="n">
        <v>40000</v>
      </c>
      <c r="P39" s="3" t="s">
        <v>69</v>
      </c>
      <c r="Q39" s="3" t="s">
        <v>98</v>
      </c>
      <c r="R39" s="3" t="s">
        <v>99</v>
      </c>
      <c r="S39" s="3"/>
      <c r="T39" s="3"/>
      <c r="U39" s="3"/>
      <c r="V39" s="3" t="n">
        <v>1</v>
      </c>
      <c r="W39" s="3" t="s">
        <v>72</v>
      </c>
      <c r="X39" s="3" t="s">
        <v>73</v>
      </c>
      <c r="Y39" s="3" t="s">
        <v>506</v>
      </c>
      <c r="Z39" s="3" t="s">
        <v>507</v>
      </c>
      <c r="AA39" s="3" t="s">
        <v>224</v>
      </c>
      <c r="AB39" s="3"/>
      <c r="AC39" s="3" t="s">
        <v>225</v>
      </c>
      <c r="AD39" s="3" t="s">
        <v>189</v>
      </c>
      <c r="AE39" s="3" t="s">
        <v>226</v>
      </c>
      <c r="AF39" s="3" t="s">
        <v>80</v>
      </c>
      <c r="AG39" s="3" t="s">
        <v>81</v>
      </c>
      <c r="AH39" s="3" t="s">
        <v>82</v>
      </c>
      <c r="AI39" s="3" t="s">
        <v>83</v>
      </c>
      <c r="AJ39" s="3" t="s">
        <v>82</v>
      </c>
      <c r="AK39" s="3" t="s">
        <v>83</v>
      </c>
      <c r="AL39" s="3" t="s">
        <v>82</v>
      </c>
      <c r="AM39" s="3" t="s">
        <v>84</v>
      </c>
      <c r="AN39" s="3"/>
      <c r="AO39" s="3" t="n">
        <v>2</v>
      </c>
      <c r="AP39" s="3" t="s">
        <v>85</v>
      </c>
      <c r="AQ39" s="3" t="s">
        <v>73</v>
      </c>
      <c r="AR39" s="3" t="s">
        <v>233</v>
      </c>
      <c r="AS39" s="3" t="s">
        <v>234</v>
      </c>
      <c r="AT39" s="3" t="s">
        <v>235</v>
      </c>
      <c r="AU39" s="3"/>
      <c r="AV39" s="3" t="s">
        <v>236</v>
      </c>
      <c r="AW39" s="3" t="s">
        <v>189</v>
      </c>
      <c r="AX39" s="3" t="s">
        <v>237</v>
      </c>
      <c r="AY39" s="3" t="s">
        <v>80</v>
      </c>
      <c r="AZ39" s="3" t="s">
        <v>81</v>
      </c>
      <c r="BA39" s="3" t="s">
        <v>92</v>
      </c>
      <c r="BB39" s="3" t="s">
        <v>93</v>
      </c>
      <c r="BC39" s="3" t="s">
        <v>92</v>
      </c>
      <c r="BD39" s="3" t="s">
        <v>93</v>
      </c>
      <c r="BE39" s="3" t="s">
        <v>92</v>
      </c>
      <c r="BF39" s="3" t="s">
        <v>94</v>
      </c>
      <c r="BG39" s="3"/>
    </row>
    <row r="40" customFormat="false" ht="15" hidden="false" customHeight="false" outlineLevel="0" collapsed="false">
      <c r="A40" s="2" t="s">
        <v>508</v>
      </c>
      <c r="B40" s="3" t="s">
        <v>509</v>
      </c>
      <c r="C40" s="3" t="s">
        <v>510</v>
      </c>
      <c r="D40" s="4" t="s">
        <v>62</v>
      </c>
      <c r="E40" s="4" t="n">
        <v>39</v>
      </c>
      <c r="F40" s="5" t="str">
        <f aca="false">D40&amp;"-SHIP-"&amp;TEXT(E40,"000")</f>
        <v>20251229-SHIP-039</v>
      </c>
      <c r="G40" s="5" t="str">
        <f aca="false">D40&amp;"-TNDR-"&amp;TEXT(E40,"000")</f>
        <v>20251229-TNDR-039</v>
      </c>
      <c r="H40" s="3" t="s">
        <v>63</v>
      </c>
      <c r="I40" s="3" t="s">
        <v>64</v>
      </c>
      <c r="J40" s="3" t="s">
        <v>65</v>
      </c>
      <c r="K40" s="3" t="s">
        <v>66</v>
      </c>
      <c r="L40" s="3" t="s">
        <v>67</v>
      </c>
      <c r="M40" s="3" t="n">
        <v>500</v>
      </c>
      <c r="N40" s="3" t="s">
        <v>68</v>
      </c>
      <c r="O40" s="3" t="n">
        <v>40000</v>
      </c>
      <c r="P40" s="3" t="s">
        <v>69</v>
      </c>
      <c r="Q40" s="3" t="s">
        <v>70</v>
      </c>
      <c r="R40" s="3" t="s">
        <v>71</v>
      </c>
      <c r="S40" s="3"/>
      <c r="T40" s="3"/>
      <c r="U40" s="3"/>
      <c r="V40" s="3" t="n">
        <v>1</v>
      </c>
      <c r="W40" s="3" t="s">
        <v>72</v>
      </c>
      <c r="X40" s="3" t="s">
        <v>73</v>
      </c>
      <c r="Y40" s="3" t="s">
        <v>511</v>
      </c>
      <c r="Z40" s="3" t="s">
        <v>512</v>
      </c>
      <c r="AA40" s="3" t="s">
        <v>139</v>
      </c>
      <c r="AB40" s="3"/>
      <c r="AC40" s="3" t="s">
        <v>140</v>
      </c>
      <c r="AD40" s="3" t="s">
        <v>141</v>
      </c>
      <c r="AE40" s="3" t="s">
        <v>142</v>
      </c>
      <c r="AF40" s="3" t="s">
        <v>80</v>
      </c>
      <c r="AG40" s="3" t="s">
        <v>81</v>
      </c>
      <c r="AH40" s="3" t="s">
        <v>82</v>
      </c>
      <c r="AI40" s="3" t="s">
        <v>83</v>
      </c>
      <c r="AJ40" s="3" t="s">
        <v>82</v>
      </c>
      <c r="AK40" s="3" t="s">
        <v>83</v>
      </c>
      <c r="AL40" s="3" t="s">
        <v>82</v>
      </c>
      <c r="AM40" s="3" t="s">
        <v>84</v>
      </c>
      <c r="AN40" s="3"/>
      <c r="AO40" s="3" t="n">
        <v>2</v>
      </c>
      <c r="AP40" s="3" t="s">
        <v>85</v>
      </c>
      <c r="AQ40" s="3" t="s">
        <v>73</v>
      </c>
      <c r="AR40" s="3" t="s">
        <v>513</v>
      </c>
      <c r="AS40" s="3" t="s">
        <v>514</v>
      </c>
      <c r="AT40" s="3" t="s">
        <v>151</v>
      </c>
      <c r="AU40" s="3"/>
      <c r="AV40" s="3" t="s">
        <v>152</v>
      </c>
      <c r="AW40" s="3" t="s">
        <v>141</v>
      </c>
      <c r="AX40" s="3" t="s">
        <v>153</v>
      </c>
      <c r="AY40" s="3" t="s">
        <v>80</v>
      </c>
      <c r="AZ40" s="3" t="s">
        <v>81</v>
      </c>
      <c r="BA40" s="3" t="s">
        <v>92</v>
      </c>
      <c r="BB40" s="3" t="s">
        <v>93</v>
      </c>
      <c r="BC40" s="3" t="s">
        <v>92</v>
      </c>
      <c r="BD40" s="3" t="s">
        <v>93</v>
      </c>
      <c r="BE40" s="3" t="s">
        <v>92</v>
      </c>
      <c r="BF40" s="3" t="s">
        <v>94</v>
      </c>
      <c r="BG40" s="3"/>
    </row>
    <row r="41" customFormat="false" ht="15" hidden="false" customHeight="false" outlineLevel="0" collapsed="false">
      <c r="A41" s="2" t="s">
        <v>515</v>
      </c>
      <c r="B41" s="3" t="s">
        <v>516</v>
      </c>
      <c r="C41" s="3" t="s">
        <v>517</v>
      </c>
      <c r="D41" s="4" t="s">
        <v>62</v>
      </c>
      <c r="E41" s="4" t="n">
        <v>40</v>
      </c>
      <c r="F41" s="5" t="str">
        <f aca="false">D41&amp;"-SHIP-"&amp;TEXT(E41,"000")</f>
        <v>20251229-SHIP-040</v>
      </c>
      <c r="G41" s="5" t="str">
        <f aca="false">D41&amp;"-TNDR-"&amp;TEXT(E41,"000")</f>
        <v>20251229-TNDR-040</v>
      </c>
      <c r="H41" s="3" t="s">
        <v>63</v>
      </c>
      <c r="I41" s="3" t="s">
        <v>64</v>
      </c>
      <c r="J41" s="3" t="s">
        <v>65</v>
      </c>
      <c r="K41" s="3" t="s">
        <v>66</v>
      </c>
      <c r="L41" s="3" t="s">
        <v>67</v>
      </c>
      <c r="M41" s="3" t="n">
        <v>500</v>
      </c>
      <c r="N41" s="3" t="s">
        <v>68</v>
      </c>
      <c r="O41" s="3" t="n">
        <v>40000</v>
      </c>
      <c r="P41" s="3" t="s">
        <v>69</v>
      </c>
      <c r="Q41" s="3" t="s">
        <v>98</v>
      </c>
      <c r="R41" s="3" t="s">
        <v>99</v>
      </c>
      <c r="S41" s="3"/>
      <c r="T41" s="3"/>
      <c r="U41" s="3"/>
      <c r="V41" s="3" t="n">
        <v>1</v>
      </c>
      <c r="W41" s="3" t="s">
        <v>72</v>
      </c>
      <c r="X41" s="3" t="s">
        <v>73</v>
      </c>
      <c r="Y41" s="3" t="s">
        <v>518</v>
      </c>
      <c r="Z41" s="3" t="s">
        <v>519</v>
      </c>
      <c r="AA41" s="3" t="s">
        <v>162</v>
      </c>
      <c r="AB41" s="3" t="s">
        <v>425</v>
      </c>
      <c r="AC41" s="3" t="s">
        <v>163</v>
      </c>
      <c r="AD41" s="3" t="s">
        <v>164</v>
      </c>
      <c r="AE41" s="3" t="s">
        <v>165</v>
      </c>
      <c r="AF41" s="3" t="s">
        <v>80</v>
      </c>
      <c r="AG41" s="3" t="s">
        <v>81</v>
      </c>
      <c r="AH41" s="3" t="s">
        <v>82</v>
      </c>
      <c r="AI41" s="3" t="s">
        <v>83</v>
      </c>
      <c r="AJ41" s="3" t="s">
        <v>82</v>
      </c>
      <c r="AK41" s="3" t="s">
        <v>83</v>
      </c>
      <c r="AL41" s="3" t="s">
        <v>82</v>
      </c>
      <c r="AM41" s="3" t="s">
        <v>84</v>
      </c>
      <c r="AN41" s="3"/>
      <c r="AO41" s="3" t="n">
        <v>2</v>
      </c>
      <c r="AP41" s="3" t="s">
        <v>85</v>
      </c>
      <c r="AQ41" s="3" t="s">
        <v>73</v>
      </c>
      <c r="AR41" s="3" t="s">
        <v>520</v>
      </c>
      <c r="AS41" s="3" t="s">
        <v>521</v>
      </c>
      <c r="AT41" s="3" t="s">
        <v>124</v>
      </c>
      <c r="AU41" s="3" t="s">
        <v>522</v>
      </c>
      <c r="AV41" s="3" t="s">
        <v>125</v>
      </c>
      <c r="AW41" s="3" t="s">
        <v>126</v>
      </c>
      <c r="AX41" s="3" t="s">
        <v>127</v>
      </c>
      <c r="AY41" s="3" t="s">
        <v>80</v>
      </c>
      <c r="AZ41" s="3" t="s">
        <v>81</v>
      </c>
      <c r="BA41" s="3" t="s">
        <v>92</v>
      </c>
      <c r="BB41" s="3" t="s">
        <v>93</v>
      </c>
      <c r="BC41" s="3" t="s">
        <v>92</v>
      </c>
      <c r="BD41" s="3" t="s">
        <v>93</v>
      </c>
      <c r="BE41" s="3" t="s">
        <v>92</v>
      </c>
      <c r="BF41" s="3" t="s">
        <v>94</v>
      </c>
      <c r="BG4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6" t="s">
        <v>37</v>
      </c>
      <c r="AH1" s="6" t="s">
        <v>38</v>
      </c>
      <c r="AI1" s="6" t="s">
        <v>39</v>
      </c>
      <c r="AJ1" s="6" t="s">
        <v>40</v>
      </c>
      <c r="AK1" s="6" t="s">
        <v>41</v>
      </c>
      <c r="AL1" s="6" t="s">
        <v>42</v>
      </c>
      <c r="AM1" s="6" t="s">
        <v>43</v>
      </c>
      <c r="AN1" s="6" t="s">
        <v>44</v>
      </c>
      <c r="AO1" s="6" t="s">
        <v>45</v>
      </c>
      <c r="AP1" s="6" t="s">
        <v>46</v>
      </c>
      <c r="AQ1" s="6" t="s">
        <v>47</v>
      </c>
      <c r="AR1" s="6" t="s">
        <v>48</v>
      </c>
      <c r="AS1" s="6" t="s">
        <v>49</v>
      </c>
      <c r="AT1" s="6" t="s">
        <v>50</v>
      </c>
      <c r="AU1" s="6" t="s">
        <v>51</v>
      </c>
      <c r="AV1" s="6" t="s">
        <v>52</v>
      </c>
      <c r="AW1" s="6" t="s">
        <v>53</v>
      </c>
      <c r="AX1" s="6" t="s">
        <v>54</v>
      </c>
      <c r="AY1" s="6" t="s">
        <v>55</v>
      </c>
      <c r="AZ1" s="6" t="s">
        <v>56</v>
      </c>
      <c r="BA1" s="6" t="s">
        <v>57</v>
      </c>
      <c r="BB1" s="6" t="s">
        <v>58</v>
      </c>
    </row>
    <row r="2" customFormat="false" ht="15" hidden="false" customHeight="false" outlineLevel="0" collapsed="false">
      <c r="A2" s="0" t="str">
        <f aca="false">'Test Cases'!F2</f>
        <v>20251229-SHIP-001</v>
      </c>
      <c r="B2" s="0" t="str">
        <f aca="false">'Test Cases'!G2</f>
        <v>20251229-TNDR-001</v>
      </c>
      <c r="C2" s="0" t="str">
        <f aca="false">'Test Cases'!H2</f>
        <v>SHIPMENT</v>
      </c>
      <c r="D2" s="0" t="str">
        <f aca="false">'Test Cases'!I2</f>
        <v>COMPLETED</v>
      </c>
      <c r="E2" s="0" t="str">
        <f aca="false">'Test Cases'!J2</f>
        <v>SPOT</v>
      </c>
      <c r="F2" s="0" t="str">
        <f aca="false">'Test Cases'!K2</f>
        <v>TRUCKLOAD</v>
      </c>
      <c r="G2" s="0" t="str">
        <f aca="false">'Test Cases'!L2</f>
        <v>DRY_VAN</v>
      </c>
      <c r="H2" s="0" t="n">
        <f aca="false">'Test Cases'!M2</f>
        <v>500</v>
      </c>
      <c r="I2" s="0" t="str">
        <f aca="false">'Test Cases'!N2</f>
        <v>MILES</v>
      </c>
      <c r="J2" s="0" t="n">
        <f aca="false">'Test Cases'!O2</f>
        <v>40000</v>
      </c>
      <c r="K2" s="0" t="str">
        <f aca="false">'Test Cases'!P2</f>
        <v>LB</v>
      </c>
      <c r="L2" s="0" t="str">
        <f aca="false">'Test Cases'!Q2</f>
        <v>Test Carrier 1 Inc</v>
      </c>
      <c r="M2" s="0" t="str">
        <f aca="false">'Test Cases'!R2</f>
        <v>CAR1</v>
      </c>
      <c r="N2" s="0" t="str">
        <f aca="false">IF(ISBLANK('Test Cases'!S2),"",'Test Cases'!S2)</f>
        <v/>
      </c>
      <c r="O2" s="0" t="str">
        <f aca="false">IF(ISBLANK('Test Cases'!T2),"",'Test Cases'!T2)</f>
        <v/>
      </c>
      <c r="P2" s="0" t="str">
        <f aca="false">IF(ISBLANK('Test Cases'!U2),"",'Test Cases'!U2)</f>
        <v/>
      </c>
      <c r="Q2" s="0" t="n">
        <f aca="false">'Test Cases'!V2</f>
        <v>1</v>
      </c>
      <c r="R2" s="0" t="str">
        <f aca="false">'Test Cases'!W2</f>
        <v>PICKUP</v>
      </c>
      <c r="S2" s="0" t="str">
        <f aca="false">'Test Cases'!X2</f>
        <v>LIVE</v>
      </c>
      <c r="T2" s="0" t="str">
        <f aca="false">'Test Cases'!Y2</f>
        <v>Amazon OAK4</v>
      </c>
      <c r="U2" s="0" t="str">
        <f aca="false">'Test Cases'!Z2</f>
        <v>OAK4</v>
      </c>
      <c r="V2" s="0" t="str">
        <f aca="false">'Test Cases'!AA2</f>
        <v>1555 N. Chrisman Road</v>
      </c>
      <c r="W2" s="0" t="str">
        <f aca="false">IF(ISBLANK('Test Cases'!AB2),"",'Test Cases'!AB2)</f>
        <v/>
      </c>
      <c r="X2" s="0" t="str">
        <f aca="false">'Test Cases'!AC2</f>
        <v>Tracy</v>
      </c>
      <c r="Y2" s="0" t="str">
        <f aca="false">'Test Cases'!AD2</f>
        <v>CA</v>
      </c>
      <c r="Z2" s="0" t="str">
        <f aca="false">'Test Cases'!AE2</f>
        <v>95304</v>
      </c>
      <c r="AA2" s="0" t="str">
        <f aca="false">'Test Cases'!AF2</f>
        <v>US</v>
      </c>
      <c r="AB2" s="0" t="str">
        <f aca="false">'Test Cases'!AG2</f>
        <v>APPOINTMENT</v>
      </c>
      <c r="AC2" s="0" t="str">
        <f aca="false">'Test Cases'!AH2</f>
        <v>2025-01-15T08:00:00Z</v>
      </c>
      <c r="AD2" s="0" t="str">
        <f aca="false">'Test Cases'!AI2</f>
        <v>2025-01-15T10:00:00Z</v>
      </c>
      <c r="AE2" s="0" t="str">
        <f aca="false">'Test Cases'!AJ2</f>
        <v>2025-01-15T08:00:00Z</v>
      </c>
      <c r="AF2" s="0" t="str">
        <f aca="false">'Test Cases'!AK2</f>
        <v>2025-01-15T10:00:00Z</v>
      </c>
      <c r="AG2" s="0" t="str">
        <f aca="false">'Test Cases'!AL2</f>
        <v>2025-01-15T08:00:00Z</v>
      </c>
      <c r="AH2" s="0" t="str">
        <f aca="false">'Test Cases'!AM2</f>
        <v>2025-01-15T08:30:00Z</v>
      </c>
      <c r="AI2" s="0" t="str">
        <f aca="false">IF(ISBLANK('Test Cases'!AN2),"",'Test Cases'!AN2)</f>
        <v/>
      </c>
      <c r="AJ2" s="0" t="n">
        <f aca="false">'Test Cases'!AO2</f>
        <v>2</v>
      </c>
      <c r="AK2" s="0" t="str">
        <f aca="false">'Test Cases'!AP2</f>
        <v>DELIVERY</v>
      </c>
      <c r="AL2" s="0" t="str">
        <f aca="false">'Test Cases'!AQ2</f>
        <v>LIVE</v>
      </c>
      <c r="AM2" s="0" t="str">
        <f aca="false">'Test Cases'!AR2</f>
        <v>Target DC Columbus</v>
      </c>
      <c r="AN2" s="0" t="str">
        <f aca="false">'Test Cases'!AS2</f>
        <v>TGT-COL</v>
      </c>
      <c r="AO2" s="0" t="str">
        <f aca="false">'Test Cases'!AT2</f>
        <v>1501 Gateway Cir</v>
      </c>
      <c r="AP2" s="0" t="str">
        <f aca="false">IF(ISBLANK('Test Cases'!AU2),"",'Test Cases'!AU2)</f>
        <v/>
      </c>
      <c r="AQ2" s="0" t="str">
        <f aca="false">'Test Cases'!AV2</f>
        <v>Grove City</v>
      </c>
      <c r="AR2" s="0" t="str">
        <f aca="false">'Test Cases'!AW2</f>
        <v>OH</v>
      </c>
      <c r="AS2" s="0" t="str">
        <f aca="false">'Test Cases'!AX2</f>
        <v>43123</v>
      </c>
      <c r="AT2" s="0" t="str">
        <f aca="false">'Test Cases'!AY2</f>
        <v>US</v>
      </c>
      <c r="AU2" s="0" t="str">
        <f aca="false">'Test Cases'!AZ2</f>
        <v>APPOINTMENT</v>
      </c>
      <c r="AV2" s="0" t="str">
        <f aca="false">'Test Cases'!BA2</f>
        <v>2025-01-17T10:00:00Z</v>
      </c>
      <c r="AW2" s="0" t="str">
        <f aca="false">'Test Cases'!BB2</f>
        <v>2025-01-17T14:00:00Z</v>
      </c>
      <c r="AX2" s="0" t="str">
        <f aca="false">'Test Cases'!BC2</f>
        <v>2025-01-17T10:00:00Z</v>
      </c>
      <c r="AY2" s="0" t="str">
        <f aca="false">'Test Cases'!BD2</f>
        <v>2025-01-17T14:00:00Z</v>
      </c>
      <c r="AZ2" s="0" t="str">
        <f aca="false">'Test Cases'!BE2</f>
        <v>2025-01-17T10:00:00Z</v>
      </c>
      <c r="BA2" s="0" t="str">
        <f aca="false">'Test Cases'!BF2</f>
        <v>2025-01-17T10:30:00Z</v>
      </c>
      <c r="BB2" s="0" t="str">
        <f aca="false">IF(ISBLANK('Test Cases'!BG2),"",'Test Cases'!BG2)</f>
        <v/>
      </c>
    </row>
    <row r="3" customFormat="false" ht="15" hidden="false" customHeight="false" outlineLevel="0" collapsed="false">
      <c r="A3" s="0" t="str">
        <f aca="false">'Test Cases'!F3</f>
        <v>20251229-SHIP-002</v>
      </c>
      <c r="B3" s="0" t="str">
        <f aca="false">'Test Cases'!G3</f>
        <v>20251229-TNDR-002</v>
      </c>
      <c r="C3" s="0" t="str">
        <f aca="false">'Test Cases'!H3</f>
        <v>SHIPMENT</v>
      </c>
      <c r="D3" s="0" t="str">
        <f aca="false">'Test Cases'!I3</f>
        <v>COMPLETED</v>
      </c>
      <c r="E3" s="0" t="str">
        <f aca="false">'Test Cases'!J3</f>
        <v>SPOT</v>
      </c>
      <c r="F3" s="0" t="str">
        <f aca="false">'Test Cases'!K3</f>
        <v>TRUCKLOAD</v>
      </c>
      <c r="G3" s="0" t="str">
        <f aca="false">'Test Cases'!L3</f>
        <v>DRY_VAN</v>
      </c>
      <c r="H3" s="0" t="n">
        <f aca="false">'Test Cases'!M3</f>
        <v>500</v>
      </c>
      <c r="I3" s="0" t="str">
        <f aca="false">'Test Cases'!N3</f>
        <v>MILES</v>
      </c>
      <c r="J3" s="0" t="n">
        <f aca="false">'Test Cases'!O3</f>
        <v>40000</v>
      </c>
      <c r="K3" s="0" t="str">
        <f aca="false">'Test Cases'!P3</f>
        <v>LB</v>
      </c>
      <c r="L3" s="0" t="str">
        <f aca="false">'Test Cases'!Q3</f>
        <v>Test Carrier 2 Inc</v>
      </c>
      <c r="M3" s="0" t="str">
        <f aca="false">'Test Cases'!R3</f>
        <v>CAR2</v>
      </c>
      <c r="N3" s="0" t="str">
        <f aca="false">IF(ISBLANK('Test Cases'!S3),"",'Test Cases'!S3)</f>
        <v/>
      </c>
      <c r="O3" s="0" t="str">
        <f aca="false">IF(ISBLANK('Test Cases'!T3),"",'Test Cases'!T3)</f>
        <v/>
      </c>
      <c r="P3" s="0" t="str">
        <f aca="false">IF(ISBLANK('Test Cases'!U3),"",'Test Cases'!U3)</f>
        <v/>
      </c>
      <c r="Q3" s="0" t="n">
        <f aca="false">'Test Cases'!V3</f>
        <v>1</v>
      </c>
      <c r="R3" s="0" t="str">
        <f aca="false">'Test Cases'!W3</f>
        <v>PICKUP</v>
      </c>
      <c r="S3" s="0" t="str">
        <f aca="false">'Test Cases'!X3</f>
        <v>LIVE</v>
      </c>
      <c r="T3" s="0" t="str">
        <f aca="false">'Test Cases'!Y3</f>
        <v>Amazon OAK4</v>
      </c>
      <c r="U3" s="0" t="str">
        <f aca="false">'Test Cases'!Z3</f>
        <v>OAK4</v>
      </c>
      <c r="V3" s="0" t="str">
        <f aca="false">'Test Cases'!AA3</f>
        <v>1555 N. Chrisman Road</v>
      </c>
      <c r="W3" s="0" t="str">
        <f aca="false">IF(ISBLANK('Test Cases'!AB3),"",'Test Cases'!AB3)</f>
        <v/>
      </c>
      <c r="X3" s="0" t="str">
        <f aca="false">'Test Cases'!AC3</f>
        <v>Tracy</v>
      </c>
      <c r="Y3" s="0" t="str">
        <f aca="false">'Test Cases'!AD3</f>
        <v>CA</v>
      </c>
      <c r="Z3" s="0" t="str">
        <f aca="false">'Test Cases'!AE3</f>
        <v>95304</v>
      </c>
      <c r="AA3" s="0" t="str">
        <f aca="false">'Test Cases'!AF3</f>
        <v>US</v>
      </c>
      <c r="AB3" s="0" t="str">
        <f aca="false">'Test Cases'!AG3</f>
        <v>APPOINTMENT</v>
      </c>
      <c r="AC3" s="0" t="str">
        <f aca="false">'Test Cases'!AH3</f>
        <v>2025-01-15T08:00:00Z</v>
      </c>
      <c r="AD3" s="0" t="str">
        <f aca="false">'Test Cases'!AI3</f>
        <v>2025-01-15T10:00:00Z</v>
      </c>
      <c r="AE3" s="0" t="str">
        <f aca="false">'Test Cases'!AJ3</f>
        <v>2025-01-15T08:00:00Z</v>
      </c>
      <c r="AF3" s="0" t="str">
        <f aca="false">'Test Cases'!AK3</f>
        <v>2025-01-15T10:00:00Z</v>
      </c>
      <c r="AG3" s="0" t="str">
        <f aca="false">'Test Cases'!AL3</f>
        <v>2025-01-15T08:00:00Z</v>
      </c>
      <c r="AH3" s="0" t="str">
        <f aca="false">'Test Cases'!AM3</f>
        <v>2025-01-15T08:30:00Z</v>
      </c>
      <c r="AI3" s="0" t="str">
        <f aca="false">IF(ISBLANK('Test Cases'!AN3),"",'Test Cases'!AN3)</f>
        <v/>
      </c>
      <c r="AJ3" s="0" t="n">
        <f aca="false">'Test Cases'!AO3</f>
        <v>2</v>
      </c>
      <c r="AK3" s="0" t="str">
        <f aca="false">'Test Cases'!AP3</f>
        <v>DELIVERY</v>
      </c>
      <c r="AL3" s="0" t="str">
        <f aca="false">'Test Cases'!AQ3</f>
        <v>LIVE</v>
      </c>
      <c r="AM3" s="0" t="str">
        <f aca="false">'Test Cases'!AR3</f>
        <v>Walmart DC Phoenix</v>
      </c>
      <c r="AN3" s="0" t="str">
        <f aca="false">'Test Cases'!AS3</f>
        <v>WM-PHX</v>
      </c>
      <c r="AO3" s="0" t="str">
        <f aca="false">'Test Cases'!AT3</f>
        <v>5765 W Lower Buckeye Rd</v>
      </c>
      <c r="AP3" s="0" t="str">
        <f aca="false">IF(ISBLANK('Test Cases'!AU3),"",'Test Cases'!AU3)</f>
        <v/>
      </c>
      <c r="AQ3" s="0" t="str">
        <f aca="false">'Test Cases'!AV3</f>
        <v>Phoenix</v>
      </c>
      <c r="AR3" s="0" t="str">
        <f aca="false">'Test Cases'!AW3</f>
        <v>AZ</v>
      </c>
      <c r="AS3" s="0" t="str">
        <f aca="false">'Test Cases'!AX3</f>
        <v>85043</v>
      </c>
      <c r="AT3" s="0" t="str">
        <f aca="false">'Test Cases'!AY3</f>
        <v>US</v>
      </c>
      <c r="AU3" s="0" t="str">
        <f aca="false">'Test Cases'!AZ3</f>
        <v>APPOINTMENT</v>
      </c>
      <c r="AV3" s="0" t="str">
        <f aca="false">'Test Cases'!BA3</f>
        <v>2025-01-17T10:00:00Z</v>
      </c>
      <c r="AW3" s="0" t="str">
        <f aca="false">'Test Cases'!BB3</f>
        <v>2025-01-17T14:00:00Z</v>
      </c>
      <c r="AX3" s="0" t="str">
        <f aca="false">'Test Cases'!BC3</f>
        <v>2025-01-17T10:00:00Z</v>
      </c>
      <c r="AY3" s="0" t="str">
        <f aca="false">'Test Cases'!BD3</f>
        <v>2025-01-17T14:00:00Z</v>
      </c>
      <c r="AZ3" s="0" t="str">
        <f aca="false">'Test Cases'!BE3</f>
        <v>2025-01-17T10:00:00Z</v>
      </c>
      <c r="BA3" s="0" t="str">
        <f aca="false">'Test Cases'!BF3</f>
        <v>2025-01-17T10:30:00Z</v>
      </c>
      <c r="BB3" s="0" t="str">
        <f aca="false">IF(ISBLANK('Test Cases'!BG3),"",'Test Cases'!BG3)</f>
        <v/>
      </c>
    </row>
    <row r="4" customFormat="false" ht="15" hidden="false" customHeight="false" outlineLevel="0" collapsed="false">
      <c r="A4" s="0" t="str">
        <f aca="false">'Test Cases'!F4</f>
        <v>20251229-SHIP-003</v>
      </c>
      <c r="B4" s="0" t="str">
        <f aca="false">'Test Cases'!G4</f>
        <v>20251229-TNDR-003</v>
      </c>
      <c r="C4" s="0" t="str">
        <f aca="false">'Test Cases'!H4</f>
        <v>SHIPMENT</v>
      </c>
      <c r="D4" s="0" t="str">
        <f aca="false">'Test Cases'!I4</f>
        <v>COMPLETED</v>
      </c>
      <c r="E4" s="0" t="str">
        <f aca="false">'Test Cases'!J4</f>
        <v>SPOT</v>
      </c>
      <c r="F4" s="0" t="str">
        <f aca="false">'Test Cases'!K4</f>
        <v>TRUCKLOAD</v>
      </c>
      <c r="G4" s="0" t="str">
        <f aca="false">'Test Cases'!L4</f>
        <v>DRY_VAN</v>
      </c>
      <c r="H4" s="0" t="n">
        <f aca="false">'Test Cases'!M4</f>
        <v>500</v>
      </c>
      <c r="I4" s="0" t="str">
        <f aca="false">'Test Cases'!N4</f>
        <v>MILES</v>
      </c>
      <c r="J4" s="0" t="n">
        <f aca="false">'Test Cases'!O4</f>
        <v>40000</v>
      </c>
      <c r="K4" s="0" t="str">
        <f aca="false">'Test Cases'!P4</f>
        <v>LB</v>
      </c>
      <c r="L4" s="0" t="str">
        <f aca="false">'Test Cases'!Q4</f>
        <v>Test Carrier 1 Inc</v>
      </c>
      <c r="M4" s="0" t="str">
        <f aca="false">'Test Cases'!R4</f>
        <v>CAR1</v>
      </c>
      <c r="N4" s="0" t="str">
        <f aca="false">IF(ISBLANK('Test Cases'!S4),"",'Test Cases'!S4)</f>
        <v/>
      </c>
      <c r="O4" s="0" t="str">
        <f aca="false">IF(ISBLANK('Test Cases'!T4),"",'Test Cases'!T4)</f>
        <v/>
      </c>
      <c r="P4" s="0" t="str">
        <f aca="false">IF(ISBLANK('Test Cases'!U4),"",'Test Cases'!U4)</f>
        <v/>
      </c>
      <c r="Q4" s="0" t="n">
        <f aca="false">'Test Cases'!V4</f>
        <v>1</v>
      </c>
      <c r="R4" s="0" t="str">
        <f aca="false">'Test Cases'!W4</f>
        <v>PICKUP</v>
      </c>
      <c r="S4" s="0" t="str">
        <f aca="false">'Test Cases'!X4</f>
        <v>LIVE</v>
      </c>
      <c r="T4" s="0" t="str">
        <f aca="false">'Test Cases'!Y4</f>
        <v>Tracy Warehouse</v>
      </c>
      <c r="U4" s="0" t="str">
        <f aca="false">'Test Cases'!Z4</f>
        <v>TRC-WH</v>
      </c>
      <c r="V4" s="0" t="str">
        <f aca="false">'Test Cases'!AA4</f>
        <v>1555 N. Chrisman Rd</v>
      </c>
      <c r="W4" s="0" t="str">
        <f aca="false">IF(ISBLANK('Test Cases'!AB4),"",'Test Cases'!AB4)</f>
        <v/>
      </c>
      <c r="X4" s="0" t="str">
        <f aca="false">'Test Cases'!AC4</f>
        <v>Tracy</v>
      </c>
      <c r="Y4" s="0" t="str">
        <f aca="false">'Test Cases'!AD4</f>
        <v>CA</v>
      </c>
      <c r="Z4" s="0" t="str">
        <f aca="false">'Test Cases'!AE4</f>
        <v>95304</v>
      </c>
      <c r="AA4" s="0" t="str">
        <f aca="false">'Test Cases'!AF4</f>
        <v>US</v>
      </c>
      <c r="AB4" s="0" t="str">
        <f aca="false">'Test Cases'!AG4</f>
        <v>APPOINTMENT</v>
      </c>
      <c r="AC4" s="0" t="str">
        <f aca="false">'Test Cases'!AH4</f>
        <v>2025-01-15T08:00:00Z</v>
      </c>
      <c r="AD4" s="0" t="str">
        <f aca="false">'Test Cases'!AI4</f>
        <v>2025-01-15T10:00:00Z</v>
      </c>
      <c r="AE4" s="0" t="str">
        <f aca="false">'Test Cases'!AJ4</f>
        <v>2025-01-15T08:00:00Z</v>
      </c>
      <c r="AF4" s="0" t="str">
        <f aca="false">'Test Cases'!AK4</f>
        <v>2025-01-15T10:00:00Z</v>
      </c>
      <c r="AG4" s="0" t="str">
        <f aca="false">'Test Cases'!AL4</f>
        <v>2025-01-15T08:00:00Z</v>
      </c>
      <c r="AH4" s="0" t="str">
        <f aca="false">'Test Cases'!AM4</f>
        <v>2025-01-15T08:30:00Z</v>
      </c>
      <c r="AI4" s="0" t="str">
        <f aca="false">IF(ISBLANK('Test Cases'!AN4),"",'Test Cases'!AN4)</f>
        <v/>
      </c>
      <c r="AJ4" s="0" t="n">
        <f aca="false">'Test Cases'!AO4</f>
        <v>2</v>
      </c>
      <c r="AK4" s="0" t="str">
        <f aca="false">'Test Cases'!AP4</f>
        <v>DELIVERY</v>
      </c>
      <c r="AL4" s="0" t="str">
        <f aca="false">'Test Cases'!AQ4</f>
        <v>LIVE</v>
      </c>
      <c r="AM4" s="0" t="str">
        <f aca="false">'Test Cases'!AR4</f>
        <v>Phoenix Hub</v>
      </c>
      <c r="AN4" s="0" t="str">
        <f aca="false">'Test Cases'!AS4</f>
        <v>PHX-HUB</v>
      </c>
      <c r="AO4" s="0" t="str">
        <f aca="false">'Test Cases'!AT4</f>
        <v>2700 S 24th St</v>
      </c>
      <c r="AP4" s="0" t="str">
        <f aca="false">IF(ISBLANK('Test Cases'!AU4),"",'Test Cases'!AU4)</f>
        <v/>
      </c>
      <c r="AQ4" s="0" t="str">
        <f aca="false">'Test Cases'!AV4</f>
        <v>Phoenix</v>
      </c>
      <c r="AR4" s="0" t="str">
        <f aca="false">'Test Cases'!AW4</f>
        <v>AZ</v>
      </c>
      <c r="AS4" s="0" t="str">
        <f aca="false">'Test Cases'!AX4</f>
        <v>85034</v>
      </c>
      <c r="AT4" s="0" t="str">
        <f aca="false">'Test Cases'!AY4</f>
        <v>US</v>
      </c>
      <c r="AU4" s="0" t="str">
        <f aca="false">'Test Cases'!AZ4</f>
        <v>APPOINTMENT</v>
      </c>
      <c r="AV4" s="0" t="str">
        <f aca="false">'Test Cases'!BA4</f>
        <v>2025-01-17T10:00:00Z</v>
      </c>
      <c r="AW4" s="0" t="str">
        <f aca="false">'Test Cases'!BB4</f>
        <v>2025-01-17T14:00:00Z</v>
      </c>
      <c r="AX4" s="0" t="str">
        <f aca="false">'Test Cases'!BC4</f>
        <v>2025-01-17T10:00:00Z</v>
      </c>
      <c r="AY4" s="0" t="str">
        <f aca="false">'Test Cases'!BD4</f>
        <v>2025-01-17T14:00:00Z</v>
      </c>
      <c r="AZ4" s="0" t="str">
        <f aca="false">'Test Cases'!BE4</f>
        <v>2025-01-17T10:00:00Z</v>
      </c>
      <c r="BA4" s="0" t="str">
        <f aca="false">'Test Cases'!BF4</f>
        <v>2025-01-17T10:30:00Z</v>
      </c>
      <c r="BB4" s="0" t="str">
        <f aca="false">IF(ISBLANK('Test Cases'!BG4),"",'Test Cases'!BG4)</f>
        <v/>
      </c>
    </row>
    <row r="5" customFormat="false" ht="15" hidden="false" customHeight="false" outlineLevel="0" collapsed="false">
      <c r="A5" s="0" t="str">
        <f aca="false">'Test Cases'!F5</f>
        <v>20251229-SHIP-004</v>
      </c>
      <c r="B5" s="0" t="str">
        <f aca="false">'Test Cases'!G5</f>
        <v>20251229-TNDR-004</v>
      </c>
      <c r="C5" s="0" t="str">
        <f aca="false">'Test Cases'!H5</f>
        <v>SHIPMENT</v>
      </c>
      <c r="D5" s="0" t="str">
        <f aca="false">'Test Cases'!I5</f>
        <v>COMPLETED</v>
      </c>
      <c r="E5" s="0" t="str">
        <f aca="false">'Test Cases'!J5</f>
        <v>SPOT</v>
      </c>
      <c r="F5" s="0" t="str">
        <f aca="false">'Test Cases'!K5</f>
        <v>TRUCKLOAD</v>
      </c>
      <c r="G5" s="0" t="str">
        <f aca="false">'Test Cases'!L5</f>
        <v>DRY_VAN</v>
      </c>
      <c r="H5" s="0" t="n">
        <f aca="false">'Test Cases'!M5</f>
        <v>500</v>
      </c>
      <c r="I5" s="0" t="str">
        <f aca="false">'Test Cases'!N5</f>
        <v>MILES</v>
      </c>
      <c r="J5" s="0" t="n">
        <f aca="false">'Test Cases'!O5</f>
        <v>40000</v>
      </c>
      <c r="K5" s="0" t="str">
        <f aca="false">'Test Cases'!P5</f>
        <v>LB</v>
      </c>
      <c r="L5" s="0" t="str">
        <f aca="false">'Test Cases'!Q5</f>
        <v>Test Carrier 2 Inc</v>
      </c>
      <c r="M5" s="0" t="str">
        <f aca="false">'Test Cases'!R5</f>
        <v>CAR2</v>
      </c>
      <c r="N5" s="0" t="str">
        <f aca="false">IF(ISBLANK('Test Cases'!S5),"",'Test Cases'!S5)</f>
        <v/>
      </c>
      <c r="O5" s="0" t="str">
        <f aca="false">IF(ISBLANK('Test Cases'!T5),"",'Test Cases'!T5)</f>
        <v/>
      </c>
      <c r="P5" s="0" t="str">
        <f aca="false">IF(ISBLANK('Test Cases'!U5),"",'Test Cases'!U5)</f>
        <v/>
      </c>
      <c r="Q5" s="0" t="n">
        <f aca="false">'Test Cases'!V5</f>
        <v>1</v>
      </c>
      <c r="R5" s="0" t="str">
        <f aca="false">'Test Cases'!W5</f>
        <v>PICKUP</v>
      </c>
      <c r="S5" s="0" t="str">
        <f aca="false">'Test Cases'!X5</f>
        <v>LIVE</v>
      </c>
      <c r="T5" s="0" t="str">
        <f aca="false">'Test Cases'!Y5</f>
        <v>Chrisman Road Facility</v>
      </c>
      <c r="U5" s="0" t="str">
        <f aca="false">'Test Cases'!Z5</f>
        <v>CRF-001</v>
      </c>
      <c r="V5" s="0" t="str">
        <f aca="false">'Test Cases'!AA5</f>
        <v>1555 North Chrisman Road</v>
      </c>
      <c r="W5" s="0" t="str">
        <f aca="false">IF(ISBLANK('Test Cases'!AB5),"",'Test Cases'!AB5)</f>
        <v/>
      </c>
      <c r="X5" s="0" t="str">
        <f aca="false">'Test Cases'!AC5</f>
        <v>Tracy</v>
      </c>
      <c r="Y5" s="0" t="str">
        <f aca="false">'Test Cases'!AD5</f>
        <v>CA</v>
      </c>
      <c r="Z5" s="0" t="str">
        <f aca="false">'Test Cases'!AE5</f>
        <v>95304</v>
      </c>
      <c r="AA5" s="0" t="str">
        <f aca="false">'Test Cases'!AF5</f>
        <v>US</v>
      </c>
      <c r="AB5" s="0" t="str">
        <f aca="false">'Test Cases'!AG5</f>
        <v>APPOINTMENT</v>
      </c>
      <c r="AC5" s="0" t="str">
        <f aca="false">'Test Cases'!AH5</f>
        <v>2025-01-15T08:00:00Z</v>
      </c>
      <c r="AD5" s="0" t="str">
        <f aca="false">'Test Cases'!AI5</f>
        <v>2025-01-15T10:00:00Z</v>
      </c>
      <c r="AE5" s="0" t="str">
        <f aca="false">'Test Cases'!AJ5</f>
        <v>2025-01-15T08:00:00Z</v>
      </c>
      <c r="AF5" s="0" t="str">
        <f aca="false">'Test Cases'!AK5</f>
        <v>2025-01-15T10:00:00Z</v>
      </c>
      <c r="AG5" s="0" t="str">
        <f aca="false">'Test Cases'!AL5</f>
        <v>2025-01-15T08:00:00Z</v>
      </c>
      <c r="AH5" s="0" t="str">
        <f aca="false">'Test Cases'!AM5</f>
        <v>2025-01-15T08:30:00Z</v>
      </c>
      <c r="AI5" s="0" t="str">
        <f aca="false">IF(ISBLANK('Test Cases'!AN5),"",'Test Cases'!AN5)</f>
        <v/>
      </c>
      <c r="AJ5" s="0" t="n">
        <f aca="false">'Test Cases'!AO5</f>
        <v>2</v>
      </c>
      <c r="AK5" s="0" t="str">
        <f aca="false">'Test Cases'!AP5</f>
        <v>DELIVERY</v>
      </c>
      <c r="AL5" s="0" t="str">
        <f aca="false">'Test Cases'!AQ5</f>
        <v>LIVE</v>
      </c>
      <c r="AM5" s="0" t="str">
        <f aca="false">'Test Cases'!AR5</f>
        <v>Dallas Terminal</v>
      </c>
      <c r="AN5" s="0" t="str">
        <f aca="false">'Test Cases'!AS5</f>
        <v>DAL-TRM</v>
      </c>
      <c r="AO5" s="0" t="str">
        <f aca="false">'Test Cases'!AT5</f>
        <v>8250 N Stemmons Fwy</v>
      </c>
      <c r="AP5" s="0" t="str">
        <f aca="false">IF(ISBLANK('Test Cases'!AU5),"",'Test Cases'!AU5)</f>
        <v/>
      </c>
      <c r="AQ5" s="0" t="str">
        <f aca="false">'Test Cases'!AV5</f>
        <v>Dallas</v>
      </c>
      <c r="AR5" s="0" t="str">
        <f aca="false">'Test Cases'!AW5</f>
        <v>TX</v>
      </c>
      <c r="AS5" s="0" t="str">
        <f aca="false">'Test Cases'!AX5</f>
        <v>75247</v>
      </c>
      <c r="AT5" s="0" t="str">
        <f aca="false">'Test Cases'!AY5</f>
        <v>US</v>
      </c>
      <c r="AU5" s="0" t="str">
        <f aca="false">'Test Cases'!AZ5</f>
        <v>APPOINTMENT</v>
      </c>
      <c r="AV5" s="0" t="str">
        <f aca="false">'Test Cases'!BA5</f>
        <v>2025-01-17T10:00:00Z</v>
      </c>
      <c r="AW5" s="0" t="str">
        <f aca="false">'Test Cases'!BB5</f>
        <v>2025-01-17T14:00:00Z</v>
      </c>
      <c r="AX5" s="0" t="str">
        <f aca="false">'Test Cases'!BC5</f>
        <v>2025-01-17T10:00:00Z</v>
      </c>
      <c r="AY5" s="0" t="str">
        <f aca="false">'Test Cases'!BD5</f>
        <v>2025-01-17T14:00:00Z</v>
      </c>
      <c r="AZ5" s="0" t="str">
        <f aca="false">'Test Cases'!BE5</f>
        <v>2025-01-17T10:00:00Z</v>
      </c>
      <c r="BA5" s="0" t="str">
        <f aca="false">'Test Cases'!BF5</f>
        <v>2025-01-17T10:30:00Z</v>
      </c>
      <c r="BB5" s="0" t="str">
        <f aca="false">IF(ISBLANK('Test Cases'!BG5),"",'Test Cases'!BG5)</f>
        <v/>
      </c>
    </row>
    <row r="6" customFormat="false" ht="15" hidden="false" customHeight="false" outlineLevel="0" collapsed="false">
      <c r="A6" s="0" t="str">
        <f aca="false">'Test Cases'!F6</f>
        <v>20251229-SHIP-005</v>
      </c>
      <c r="B6" s="0" t="str">
        <f aca="false">'Test Cases'!G6</f>
        <v>20251229-TNDR-005</v>
      </c>
      <c r="C6" s="0" t="str">
        <f aca="false">'Test Cases'!H6</f>
        <v>SHIPMENT</v>
      </c>
      <c r="D6" s="0" t="str">
        <f aca="false">'Test Cases'!I6</f>
        <v>COMPLETED</v>
      </c>
      <c r="E6" s="0" t="str">
        <f aca="false">'Test Cases'!J6</f>
        <v>SPOT</v>
      </c>
      <c r="F6" s="0" t="str">
        <f aca="false">'Test Cases'!K6</f>
        <v>TRUCKLOAD</v>
      </c>
      <c r="G6" s="0" t="str">
        <f aca="false">'Test Cases'!L6</f>
        <v>DRY_VAN</v>
      </c>
      <c r="H6" s="0" t="n">
        <f aca="false">'Test Cases'!M6</f>
        <v>500</v>
      </c>
      <c r="I6" s="0" t="str">
        <f aca="false">'Test Cases'!N6</f>
        <v>MILES</v>
      </c>
      <c r="J6" s="0" t="n">
        <f aca="false">'Test Cases'!O6</f>
        <v>40000</v>
      </c>
      <c r="K6" s="0" t="str">
        <f aca="false">'Test Cases'!P6</f>
        <v>LB</v>
      </c>
      <c r="L6" s="0" t="str">
        <f aca="false">'Test Cases'!Q6</f>
        <v>Test Carrier 1 Inc</v>
      </c>
      <c r="M6" s="0" t="str">
        <f aca="false">'Test Cases'!R6</f>
        <v>CAR1</v>
      </c>
      <c r="N6" s="0" t="str">
        <f aca="false">IF(ISBLANK('Test Cases'!S6),"",'Test Cases'!S6)</f>
        <v/>
      </c>
      <c r="O6" s="0" t="str">
        <f aca="false">IF(ISBLANK('Test Cases'!T6),"",'Test Cases'!T6)</f>
        <v/>
      </c>
      <c r="P6" s="0" t="str">
        <f aca="false">IF(ISBLANK('Test Cases'!U6),"",'Test Cases'!U6)</f>
        <v/>
      </c>
      <c r="Q6" s="0" t="n">
        <f aca="false">'Test Cases'!V6</f>
        <v>1</v>
      </c>
      <c r="R6" s="0" t="str">
        <f aca="false">'Test Cases'!W6</f>
        <v>PICKUP</v>
      </c>
      <c r="S6" s="0" t="str">
        <f aca="false">'Test Cases'!X6</f>
        <v>LIVE</v>
      </c>
      <c r="T6" s="0" t="str">
        <f aca="false">'Test Cases'!Y6</f>
        <v>Amazon EWR6</v>
      </c>
      <c r="U6" s="0" t="str">
        <f aca="false">'Test Cases'!Z6</f>
        <v>EWR6</v>
      </c>
      <c r="V6" s="0" t="str">
        <f aca="false">'Test Cases'!AA6</f>
        <v>275 Omar Avenue</v>
      </c>
      <c r="W6" s="0" t="str">
        <f aca="false">IF(ISBLANK('Test Cases'!AB6),"",'Test Cases'!AB6)</f>
        <v/>
      </c>
      <c r="X6" s="0" t="str">
        <f aca="false">'Test Cases'!AC6</f>
        <v>Avenel</v>
      </c>
      <c r="Y6" s="0" t="str">
        <f aca="false">'Test Cases'!AD6</f>
        <v>NJ</v>
      </c>
      <c r="Z6" s="0" t="str">
        <f aca="false">'Test Cases'!AE6</f>
        <v>07001</v>
      </c>
      <c r="AA6" s="0" t="str">
        <f aca="false">'Test Cases'!AF6</f>
        <v>US</v>
      </c>
      <c r="AB6" s="0" t="str">
        <f aca="false">'Test Cases'!AG6</f>
        <v>APPOINTMENT</v>
      </c>
      <c r="AC6" s="0" t="str">
        <f aca="false">'Test Cases'!AH6</f>
        <v>2025-01-15T08:00:00Z</v>
      </c>
      <c r="AD6" s="0" t="str">
        <f aca="false">'Test Cases'!AI6</f>
        <v>2025-01-15T10:00:00Z</v>
      </c>
      <c r="AE6" s="0" t="str">
        <f aca="false">'Test Cases'!AJ6</f>
        <v>2025-01-15T08:00:00Z</v>
      </c>
      <c r="AF6" s="0" t="str">
        <f aca="false">'Test Cases'!AK6</f>
        <v>2025-01-15T10:00:00Z</v>
      </c>
      <c r="AG6" s="0" t="str">
        <f aca="false">'Test Cases'!AL6</f>
        <v>2025-01-15T08:00:00Z</v>
      </c>
      <c r="AH6" s="0" t="str">
        <f aca="false">'Test Cases'!AM6</f>
        <v>2025-01-15T08:30:00Z</v>
      </c>
      <c r="AI6" s="0" t="str">
        <f aca="false">IF(ISBLANK('Test Cases'!AN6),"",'Test Cases'!AN6)</f>
        <v/>
      </c>
      <c r="AJ6" s="0" t="n">
        <f aca="false">'Test Cases'!AO6</f>
        <v>2</v>
      </c>
      <c r="AK6" s="0" t="str">
        <f aca="false">'Test Cases'!AP6</f>
        <v>DELIVERY</v>
      </c>
      <c r="AL6" s="0" t="str">
        <f aca="false">'Test Cases'!AQ6</f>
        <v>LIVE</v>
      </c>
      <c r="AM6" s="0" t="str">
        <f aca="false">'Test Cases'!AR6</f>
        <v>Memphis Sort</v>
      </c>
      <c r="AN6" s="0" t="str">
        <f aca="false">'Test Cases'!AS6</f>
        <v>MEM-SRT</v>
      </c>
      <c r="AO6" s="0" t="str">
        <f aca="false">'Test Cases'!AT6</f>
        <v>2777 Pilot Dr</v>
      </c>
      <c r="AP6" s="0" t="str">
        <f aca="false">IF(ISBLANK('Test Cases'!AU6),"",'Test Cases'!AU6)</f>
        <v/>
      </c>
      <c r="AQ6" s="0" t="str">
        <f aca="false">'Test Cases'!AV6</f>
        <v>Memphis</v>
      </c>
      <c r="AR6" s="0" t="str">
        <f aca="false">'Test Cases'!AW6</f>
        <v>TN</v>
      </c>
      <c r="AS6" s="0" t="str">
        <f aca="false">'Test Cases'!AX6</f>
        <v>38118</v>
      </c>
      <c r="AT6" s="0" t="str">
        <f aca="false">'Test Cases'!AY6</f>
        <v>US</v>
      </c>
      <c r="AU6" s="0" t="str">
        <f aca="false">'Test Cases'!AZ6</f>
        <v>APPOINTMENT</v>
      </c>
      <c r="AV6" s="0" t="str">
        <f aca="false">'Test Cases'!BA6</f>
        <v>2025-01-17T10:00:00Z</v>
      </c>
      <c r="AW6" s="0" t="str">
        <f aca="false">'Test Cases'!BB6</f>
        <v>2025-01-17T14:00:00Z</v>
      </c>
      <c r="AX6" s="0" t="str">
        <f aca="false">'Test Cases'!BC6</f>
        <v>2025-01-17T10:00:00Z</v>
      </c>
      <c r="AY6" s="0" t="str">
        <f aca="false">'Test Cases'!BD6</f>
        <v>2025-01-17T14:00:00Z</v>
      </c>
      <c r="AZ6" s="0" t="str">
        <f aca="false">'Test Cases'!BE6</f>
        <v>2025-01-17T10:00:00Z</v>
      </c>
      <c r="BA6" s="0" t="str">
        <f aca="false">'Test Cases'!BF6</f>
        <v>2025-01-17T10:30:00Z</v>
      </c>
      <c r="BB6" s="0" t="str">
        <f aca="false">IF(ISBLANK('Test Cases'!BG6),"",'Test Cases'!BG6)</f>
        <v/>
      </c>
    </row>
    <row r="7" customFormat="false" ht="15" hidden="false" customHeight="false" outlineLevel="0" collapsed="false">
      <c r="A7" s="0" t="str">
        <f aca="false">'Test Cases'!F7</f>
        <v>20251229-SHIP-006</v>
      </c>
      <c r="B7" s="0" t="str">
        <f aca="false">'Test Cases'!G7</f>
        <v>20251229-TNDR-006</v>
      </c>
      <c r="C7" s="0" t="str">
        <f aca="false">'Test Cases'!H7</f>
        <v>SHIPMENT</v>
      </c>
      <c r="D7" s="0" t="str">
        <f aca="false">'Test Cases'!I7</f>
        <v>COMPLETED</v>
      </c>
      <c r="E7" s="0" t="str">
        <f aca="false">'Test Cases'!J7</f>
        <v>SPOT</v>
      </c>
      <c r="F7" s="0" t="str">
        <f aca="false">'Test Cases'!K7</f>
        <v>TRUCKLOAD</v>
      </c>
      <c r="G7" s="0" t="str">
        <f aca="false">'Test Cases'!L7</f>
        <v>DRY_VAN</v>
      </c>
      <c r="H7" s="0" t="n">
        <f aca="false">'Test Cases'!M7</f>
        <v>500</v>
      </c>
      <c r="I7" s="0" t="str">
        <f aca="false">'Test Cases'!N7</f>
        <v>MILES</v>
      </c>
      <c r="J7" s="0" t="n">
        <f aca="false">'Test Cases'!O7</f>
        <v>40000</v>
      </c>
      <c r="K7" s="0" t="str">
        <f aca="false">'Test Cases'!P7</f>
        <v>LB</v>
      </c>
      <c r="L7" s="0" t="str">
        <f aca="false">'Test Cases'!Q7</f>
        <v>Test Carrier 2 Inc</v>
      </c>
      <c r="M7" s="0" t="str">
        <f aca="false">'Test Cases'!R7</f>
        <v>CAR2</v>
      </c>
      <c r="N7" s="0" t="str">
        <f aca="false">IF(ISBLANK('Test Cases'!S7),"",'Test Cases'!S7)</f>
        <v/>
      </c>
      <c r="O7" s="0" t="str">
        <f aca="false">IF(ISBLANK('Test Cases'!T7),"",'Test Cases'!T7)</f>
        <v/>
      </c>
      <c r="P7" s="0" t="str">
        <f aca="false">IF(ISBLANK('Test Cases'!U7),"",'Test Cases'!U7)</f>
        <v/>
      </c>
      <c r="Q7" s="0" t="n">
        <f aca="false">'Test Cases'!V7</f>
        <v>1</v>
      </c>
      <c r="R7" s="0" t="str">
        <f aca="false">'Test Cases'!W7</f>
        <v>PICKUP</v>
      </c>
      <c r="S7" s="0" t="str">
        <f aca="false">'Test Cases'!X7</f>
        <v>LIVE</v>
      </c>
      <c r="T7" s="0" t="str">
        <f aca="false">'Test Cases'!Y7</f>
        <v>Avenel Warehouse</v>
      </c>
      <c r="U7" s="0" t="str">
        <f aca="false">'Test Cases'!Z7</f>
        <v>AVN-WH</v>
      </c>
      <c r="V7" s="0" t="str">
        <f aca="false">'Test Cases'!AA7</f>
        <v>275 Omar Ave</v>
      </c>
      <c r="W7" s="0" t="str">
        <f aca="false">IF(ISBLANK('Test Cases'!AB7),"",'Test Cases'!AB7)</f>
        <v/>
      </c>
      <c r="X7" s="0" t="str">
        <f aca="false">'Test Cases'!AC7</f>
        <v>Avenel</v>
      </c>
      <c r="Y7" s="0" t="str">
        <f aca="false">'Test Cases'!AD7</f>
        <v>NJ</v>
      </c>
      <c r="Z7" s="0" t="str">
        <f aca="false">'Test Cases'!AE7</f>
        <v>07001</v>
      </c>
      <c r="AA7" s="0" t="str">
        <f aca="false">'Test Cases'!AF7</f>
        <v>US</v>
      </c>
      <c r="AB7" s="0" t="str">
        <f aca="false">'Test Cases'!AG7</f>
        <v>APPOINTMENT</v>
      </c>
      <c r="AC7" s="0" t="str">
        <f aca="false">'Test Cases'!AH7</f>
        <v>2025-01-15T08:00:00Z</v>
      </c>
      <c r="AD7" s="0" t="str">
        <f aca="false">'Test Cases'!AI7</f>
        <v>2025-01-15T10:00:00Z</v>
      </c>
      <c r="AE7" s="0" t="str">
        <f aca="false">'Test Cases'!AJ7</f>
        <v>2025-01-15T08:00:00Z</v>
      </c>
      <c r="AF7" s="0" t="str">
        <f aca="false">'Test Cases'!AK7</f>
        <v>2025-01-15T10:00:00Z</v>
      </c>
      <c r="AG7" s="0" t="str">
        <f aca="false">'Test Cases'!AL7</f>
        <v>2025-01-15T08:00:00Z</v>
      </c>
      <c r="AH7" s="0" t="str">
        <f aca="false">'Test Cases'!AM7</f>
        <v>2025-01-15T08:30:00Z</v>
      </c>
      <c r="AI7" s="0" t="str">
        <f aca="false">IF(ISBLANK('Test Cases'!AN7),"",'Test Cases'!AN7)</f>
        <v/>
      </c>
      <c r="AJ7" s="0" t="n">
        <f aca="false">'Test Cases'!AO7</f>
        <v>2</v>
      </c>
      <c r="AK7" s="0" t="str">
        <f aca="false">'Test Cases'!AP7</f>
        <v>DELIVERY</v>
      </c>
      <c r="AL7" s="0" t="str">
        <f aca="false">'Test Cases'!AQ7</f>
        <v>LIVE</v>
      </c>
      <c r="AM7" s="0" t="str">
        <f aca="false">'Test Cases'!AR7</f>
        <v>Nashville Hub</v>
      </c>
      <c r="AN7" s="0" t="str">
        <f aca="false">'Test Cases'!AS7</f>
        <v>BNA-HUB</v>
      </c>
      <c r="AO7" s="0" t="str">
        <f aca="false">'Test Cases'!AT7</f>
        <v>50 Airways Blvd</v>
      </c>
      <c r="AP7" s="0" t="str">
        <f aca="false">IF(ISBLANK('Test Cases'!AU7),"",'Test Cases'!AU7)</f>
        <v/>
      </c>
      <c r="AQ7" s="0" t="str">
        <f aca="false">'Test Cases'!AV7</f>
        <v>Nashville</v>
      </c>
      <c r="AR7" s="0" t="str">
        <f aca="false">'Test Cases'!AW7</f>
        <v>TN</v>
      </c>
      <c r="AS7" s="0" t="str">
        <f aca="false">'Test Cases'!AX7</f>
        <v>37217</v>
      </c>
      <c r="AT7" s="0" t="str">
        <f aca="false">'Test Cases'!AY7</f>
        <v>US</v>
      </c>
      <c r="AU7" s="0" t="str">
        <f aca="false">'Test Cases'!AZ7</f>
        <v>APPOINTMENT</v>
      </c>
      <c r="AV7" s="0" t="str">
        <f aca="false">'Test Cases'!BA7</f>
        <v>2025-01-17T10:00:00Z</v>
      </c>
      <c r="AW7" s="0" t="str">
        <f aca="false">'Test Cases'!BB7</f>
        <v>2025-01-17T14:00:00Z</v>
      </c>
      <c r="AX7" s="0" t="str">
        <f aca="false">'Test Cases'!BC7</f>
        <v>2025-01-17T10:00:00Z</v>
      </c>
      <c r="AY7" s="0" t="str">
        <f aca="false">'Test Cases'!BD7</f>
        <v>2025-01-17T14:00:00Z</v>
      </c>
      <c r="AZ7" s="0" t="str">
        <f aca="false">'Test Cases'!BE7</f>
        <v>2025-01-17T10:00:00Z</v>
      </c>
      <c r="BA7" s="0" t="str">
        <f aca="false">'Test Cases'!BF7</f>
        <v>2025-01-17T10:30:00Z</v>
      </c>
      <c r="BB7" s="0" t="str">
        <f aca="false">IF(ISBLANK('Test Cases'!BG7),"",'Test Cases'!BG7)</f>
        <v/>
      </c>
    </row>
    <row r="8" customFormat="false" ht="15" hidden="false" customHeight="false" outlineLevel="0" collapsed="false">
      <c r="A8" s="0" t="str">
        <f aca="false">'Test Cases'!F8</f>
        <v>20251229-SHIP-007</v>
      </c>
      <c r="B8" s="0" t="str">
        <f aca="false">'Test Cases'!G8</f>
        <v>20251229-TNDR-007</v>
      </c>
      <c r="C8" s="0" t="str">
        <f aca="false">'Test Cases'!H8</f>
        <v>SHIPMENT</v>
      </c>
      <c r="D8" s="0" t="str">
        <f aca="false">'Test Cases'!I8</f>
        <v>COMPLETED</v>
      </c>
      <c r="E8" s="0" t="str">
        <f aca="false">'Test Cases'!J8</f>
        <v>SPOT</v>
      </c>
      <c r="F8" s="0" t="str">
        <f aca="false">'Test Cases'!K8</f>
        <v>TRUCKLOAD</v>
      </c>
      <c r="G8" s="0" t="str">
        <f aca="false">'Test Cases'!L8</f>
        <v>DRY_VAN</v>
      </c>
      <c r="H8" s="0" t="n">
        <f aca="false">'Test Cases'!M8</f>
        <v>500</v>
      </c>
      <c r="I8" s="0" t="str">
        <f aca="false">'Test Cases'!N8</f>
        <v>MILES</v>
      </c>
      <c r="J8" s="0" t="n">
        <f aca="false">'Test Cases'!O8</f>
        <v>40000</v>
      </c>
      <c r="K8" s="0" t="str">
        <f aca="false">'Test Cases'!P8</f>
        <v>LB</v>
      </c>
      <c r="L8" s="0" t="str">
        <f aca="false">'Test Cases'!Q8</f>
        <v>Test Carrier 1 Inc</v>
      </c>
      <c r="M8" s="0" t="str">
        <f aca="false">'Test Cases'!R8</f>
        <v>CAR1</v>
      </c>
      <c r="N8" s="0" t="str">
        <f aca="false">IF(ISBLANK('Test Cases'!S8),"",'Test Cases'!S8)</f>
        <v/>
      </c>
      <c r="O8" s="0" t="str">
        <f aca="false">IF(ISBLANK('Test Cases'!T8),"",'Test Cases'!T8)</f>
        <v/>
      </c>
      <c r="P8" s="0" t="str">
        <f aca="false">IF(ISBLANK('Test Cases'!U8),"",'Test Cases'!U8)</f>
        <v/>
      </c>
      <c r="Q8" s="0" t="n">
        <f aca="false">'Test Cases'!V8</f>
        <v>1</v>
      </c>
      <c r="R8" s="0" t="str">
        <f aca="false">'Test Cases'!W8</f>
        <v>PICKUP</v>
      </c>
      <c r="S8" s="0" t="str">
        <f aca="false">'Test Cases'!X8</f>
        <v>LIVE</v>
      </c>
      <c r="T8" s="0" t="str">
        <f aca="false">'Test Cases'!Y8</f>
        <v>NJ Distribution</v>
      </c>
      <c r="U8" s="0" t="str">
        <f aca="false">'Test Cases'!Z8</f>
        <v>NJ-DIST</v>
      </c>
      <c r="V8" s="0" t="str">
        <f aca="false">'Test Cases'!AA8</f>
        <v>275 Omar Av</v>
      </c>
      <c r="W8" s="0" t="str">
        <f aca="false">IF(ISBLANK('Test Cases'!AB8),"",'Test Cases'!AB8)</f>
        <v/>
      </c>
      <c r="X8" s="0" t="str">
        <f aca="false">'Test Cases'!AC8</f>
        <v>Avenel</v>
      </c>
      <c r="Y8" s="0" t="str">
        <f aca="false">'Test Cases'!AD8</f>
        <v>NJ</v>
      </c>
      <c r="Z8" s="0" t="str">
        <f aca="false">'Test Cases'!AE8</f>
        <v>07001</v>
      </c>
      <c r="AA8" s="0" t="str">
        <f aca="false">'Test Cases'!AF8</f>
        <v>US</v>
      </c>
      <c r="AB8" s="0" t="str">
        <f aca="false">'Test Cases'!AG8</f>
        <v>APPOINTMENT</v>
      </c>
      <c r="AC8" s="0" t="str">
        <f aca="false">'Test Cases'!AH8</f>
        <v>2025-01-15T08:00:00Z</v>
      </c>
      <c r="AD8" s="0" t="str">
        <f aca="false">'Test Cases'!AI8</f>
        <v>2025-01-15T10:00:00Z</v>
      </c>
      <c r="AE8" s="0" t="str">
        <f aca="false">'Test Cases'!AJ8</f>
        <v>2025-01-15T08:00:00Z</v>
      </c>
      <c r="AF8" s="0" t="str">
        <f aca="false">'Test Cases'!AK8</f>
        <v>2025-01-15T10:00:00Z</v>
      </c>
      <c r="AG8" s="0" t="str">
        <f aca="false">'Test Cases'!AL8</f>
        <v>2025-01-15T08:00:00Z</v>
      </c>
      <c r="AH8" s="0" t="str">
        <f aca="false">'Test Cases'!AM8</f>
        <v>2025-01-15T08:30:00Z</v>
      </c>
      <c r="AI8" s="0" t="str">
        <f aca="false">IF(ISBLANK('Test Cases'!AN8),"",'Test Cases'!AN8)</f>
        <v/>
      </c>
      <c r="AJ8" s="0" t="n">
        <f aca="false">'Test Cases'!AO8</f>
        <v>2</v>
      </c>
      <c r="AK8" s="0" t="str">
        <f aca="false">'Test Cases'!AP8</f>
        <v>DELIVERY</v>
      </c>
      <c r="AL8" s="0" t="str">
        <f aca="false">'Test Cases'!AQ8</f>
        <v>LIVE</v>
      </c>
      <c r="AM8" s="0" t="str">
        <f aca="false">'Test Cases'!AR8</f>
        <v>Atlanta DC</v>
      </c>
      <c r="AN8" s="0" t="str">
        <f aca="false">'Test Cases'!AS8</f>
        <v>ATL-DC</v>
      </c>
      <c r="AO8" s="0" t="str">
        <f aca="false">'Test Cases'!AT8</f>
        <v>4100 Wendell Dr SW</v>
      </c>
      <c r="AP8" s="0" t="str">
        <f aca="false">IF(ISBLANK('Test Cases'!AU8),"",'Test Cases'!AU8)</f>
        <v/>
      </c>
      <c r="AQ8" s="0" t="str">
        <f aca="false">'Test Cases'!AV8</f>
        <v>Atlanta</v>
      </c>
      <c r="AR8" s="0" t="str">
        <f aca="false">'Test Cases'!AW8</f>
        <v>GA</v>
      </c>
      <c r="AS8" s="0" t="str">
        <f aca="false">'Test Cases'!AX8</f>
        <v>30336</v>
      </c>
      <c r="AT8" s="0" t="str">
        <f aca="false">'Test Cases'!AY8</f>
        <v>US</v>
      </c>
      <c r="AU8" s="0" t="str">
        <f aca="false">'Test Cases'!AZ8</f>
        <v>APPOINTMENT</v>
      </c>
      <c r="AV8" s="0" t="str">
        <f aca="false">'Test Cases'!BA8</f>
        <v>2025-01-17T10:00:00Z</v>
      </c>
      <c r="AW8" s="0" t="str">
        <f aca="false">'Test Cases'!BB8</f>
        <v>2025-01-17T14:00:00Z</v>
      </c>
      <c r="AX8" s="0" t="str">
        <f aca="false">'Test Cases'!BC8</f>
        <v>2025-01-17T10:00:00Z</v>
      </c>
      <c r="AY8" s="0" t="str">
        <f aca="false">'Test Cases'!BD8</f>
        <v>2025-01-17T14:00:00Z</v>
      </c>
      <c r="AZ8" s="0" t="str">
        <f aca="false">'Test Cases'!BE8</f>
        <v>2025-01-17T10:00:00Z</v>
      </c>
      <c r="BA8" s="0" t="str">
        <f aca="false">'Test Cases'!BF8</f>
        <v>2025-01-17T10:30:00Z</v>
      </c>
      <c r="BB8" s="0" t="str">
        <f aca="false">IF(ISBLANK('Test Cases'!BG8),"",'Test Cases'!BG8)</f>
        <v/>
      </c>
    </row>
    <row r="9" customFormat="false" ht="15" hidden="false" customHeight="false" outlineLevel="0" collapsed="false">
      <c r="A9" s="0" t="str">
        <f aca="false">'Test Cases'!F9</f>
        <v>20251229-SHIP-008</v>
      </c>
      <c r="B9" s="0" t="str">
        <f aca="false">'Test Cases'!G9</f>
        <v>20251229-TNDR-008</v>
      </c>
      <c r="C9" s="0" t="str">
        <f aca="false">'Test Cases'!H9</f>
        <v>SHIPMENT</v>
      </c>
      <c r="D9" s="0" t="str">
        <f aca="false">'Test Cases'!I9</f>
        <v>COMPLETED</v>
      </c>
      <c r="E9" s="0" t="str">
        <f aca="false">'Test Cases'!J9</f>
        <v>SPOT</v>
      </c>
      <c r="F9" s="0" t="str">
        <f aca="false">'Test Cases'!K9</f>
        <v>TRUCKLOAD</v>
      </c>
      <c r="G9" s="0" t="str">
        <f aca="false">'Test Cases'!L9</f>
        <v>DRY_VAN</v>
      </c>
      <c r="H9" s="0" t="n">
        <f aca="false">'Test Cases'!M9</f>
        <v>500</v>
      </c>
      <c r="I9" s="0" t="str">
        <f aca="false">'Test Cases'!N9</f>
        <v>MILES</v>
      </c>
      <c r="J9" s="0" t="n">
        <f aca="false">'Test Cases'!O9</f>
        <v>40000</v>
      </c>
      <c r="K9" s="0" t="str">
        <f aca="false">'Test Cases'!P9</f>
        <v>LB</v>
      </c>
      <c r="L9" s="0" t="str">
        <f aca="false">'Test Cases'!Q9</f>
        <v>Test Carrier 2 Inc</v>
      </c>
      <c r="M9" s="0" t="str">
        <f aca="false">'Test Cases'!R9</f>
        <v>CAR2</v>
      </c>
      <c r="N9" s="0" t="str">
        <f aca="false">IF(ISBLANK('Test Cases'!S9),"",'Test Cases'!S9)</f>
        <v/>
      </c>
      <c r="O9" s="0" t="str">
        <f aca="false">IF(ISBLANK('Test Cases'!T9),"",'Test Cases'!T9)</f>
        <v/>
      </c>
      <c r="P9" s="0" t="str">
        <f aca="false">IF(ISBLANK('Test Cases'!U9),"",'Test Cases'!U9)</f>
        <v/>
      </c>
      <c r="Q9" s="0" t="n">
        <f aca="false">'Test Cases'!V9</f>
        <v>1</v>
      </c>
      <c r="R9" s="0" t="str">
        <f aca="false">'Test Cases'!W9</f>
        <v>PICKUP</v>
      </c>
      <c r="S9" s="0" t="str">
        <f aca="false">'Test Cases'!X9</f>
        <v>LIVE</v>
      </c>
      <c r="T9" s="0" t="str">
        <f aca="false">'Test Cases'!Y9</f>
        <v>Amazon OAK5</v>
      </c>
      <c r="U9" s="0" t="str">
        <f aca="false">'Test Cases'!Z9</f>
        <v>OAK5</v>
      </c>
      <c r="V9" s="0" t="str">
        <f aca="false">'Test Cases'!AA9</f>
        <v>38811 Cherry Street</v>
      </c>
      <c r="W9" s="0" t="str">
        <f aca="false">IF(ISBLANK('Test Cases'!AB9),"",'Test Cases'!AB9)</f>
        <v/>
      </c>
      <c r="X9" s="0" t="str">
        <f aca="false">'Test Cases'!AC9</f>
        <v>Newark</v>
      </c>
      <c r="Y9" s="0" t="str">
        <f aca="false">'Test Cases'!AD9</f>
        <v>CA</v>
      </c>
      <c r="Z9" s="0" t="str">
        <f aca="false">'Test Cases'!AE9</f>
        <v>94560</v>
      </c>
      <c r="AA9" s="0" t="str">
        <f aca="false">'Test Cases'!AF9</f>
        <v>US</v>
      </c>
      <c r="AB9" s="0" t="str">
        <f aca="false">'Test Cases'!AG9</f>
        <v>APPOINTMENT</v>
      </c>
      <c r="AC9" s="0" t="str">
        <f aca="false">'Test Cases'!AH9</f>
        <v>2025-01-15T08:00:00Z</v>
      </c>
      <c r="AD9" s="0" t="str">
        <f aca="false">'Test Cases'!AI9</f>
        <v>2025-01-15T10:00:00Z</v>
      </c>
      <c r="AE9" s="0" t="str">
        <f aca="false">'Test Cases'!AJ9</f>
        <v>2025-01-15T08:00:00Z</v>
      </c>
      <c r="AF9" s="0" t="str">
        <f aca="false">'Test Cases'!AK9</f>
        <v>2025-01-15T10:00:00Z</v>
      </c>
      <c r="AG9" s="0" t="str">
        <f aca="false">'Test Cases'!AL9</f>
        <v>2025-01-15T08:00:00Z</v>
      </c>
      <c r="AH9" s="0" t="str">
        <f aca="false">'Test Cases'!AM9</f>
        <v>2025-01-15T08:30:00Z</v>
      </c>
      <c r="AI9" s="0" t="str">
        <f aca="false">IF(ISBLANK('Test Cases'!AN9),"",'Test Cases'!AN9)</f>
        <v/>
      </c>
      <c r="AJ9" s="0" t="n">
        <f aca="false">'Test Cases'!AO9</f>
        <v>2</v>
      </c>
      <c r="AK9" s="0" t="str">
        <f aca="false">'Test Cases'!AP9</f>
        <v>DELIVERY</v>
      </c>
      <c r="AL9" s="0" t="str">
        <f aca="false">'Test Cases'!AQ9</f>
        <v>LIVE</v>
      </c>
      <c r="AM9" s="0" t="str">
        <f aca="false">'Test Cases'!AR9</f>
        <v>Houston Terminal</v>
      </c>
      <c r="AN9" s="0" t="str">
        <f aca="false">'Test Cases'!AS9</f>
        <v>HOU-TRM</v>
      </c>
      <c r="AO9" s="0" t="str">
        <f aca="false">'Test Cases'!AT9</f>
        <v>14444 Will Clayton Pkwy</v>
      </c>
      <c r="AP9" s="0" t="str">
        <f aca="false">IF(ISBLANK('Test Cases'!AU9),"",'Test Cases'!AU9)</f>
        <v/>
      </c>
      <c r="AQ9" s="0" t="str">
        <f aca="false">'Test Cases'!AV9</f>
        <v>Houston</v>
      </c>
      <c r="AR9" s="0" t="str">
        <f aca="false">'Test Cases'!AW9</f>
        <v>TX</v>
      </c>
      <c r="AS9" s="0" t="str">
        <f aca="false">'Test Cases'!AX9</f>
        <v>77032</v>
      </c>
      <c r="AT9" s="0" t="str">
        <f aca="false">'Test Cases'!AY9</f>
        <v>US</v>
      </c>
      <c r="AU9" s="0" t="str">
        <f aca="false">'Test Cases'!AZ9</f>
        <v>APPOINTMENT</v>
      </c>
      <c r="AV9" s="0" t="str">
        <f aca="false">'Test Cases'!BA9</f>
        <v>2025-01-17T10:00:00Z</v>
      </c>
      <c r="AW9" s="0" t="str">
        <f aca="false">'Test Cases'!BB9</f>
        <v>2025-01-17T14:00:00Z</v>
      </c>
      <c r="AX9" s="0" t="str">
        <f aca="false">'Test Cases'!BC9</f>
        <v>2025-01-17T10:00:00Z</v>
      </c>
      <c r="AY9" s="0" t="str">
        <f aca="false">'Test Cases'!BD9</f>
        <v>2025-01-17T14:00:00Z</v>
      </c>
      <c r="AZ9" s="0" t="str">
        <f aca="false">'Test Cases'!BE9</f>
        <v>2025-01-17T10:00:00Z</v>
      </c>
      <c r="BA9" s="0" t="str">
        <f aca="false">'Test Cases'!BF9</f>
        <v>2025-01-17T10:30:00Z</v>
      </c>
      <c r="BB9" s="0" t="str">
        <f aca="false">IF(ISBLANK('Test Cases'!BG9),"",'Test Cases'!BG9)</f>
        <v/>
      </c>
    </row>
    <row r="10" customFormat="false" ht="15" hidden="false" customHeight="false" outlineLevel="0" collapsed="false">
      <c r="A10" s="0" t="str">
        <f aca="false">'Test Cases'!F10</f>
        <v>20251229-SHIP-009</v>
      </c>
      <c r="B10" s="0" t="str">
        <f aca="false">'Test Cases'!G10</f>
        <v>20251229-TNDR-009</v>
      </c>
      <c r="C10" s="0" t="str">
        <f aca="false">'Test Cases'!H10</f>
        <v>SHIPMENT</v>
      </c>
      <c r="D10" s="0" t="str">
        <f aca="false">'Test Cases'!I10</f>
        <v>COMPLETED</v>
      </c>
      <c r="E10" s="0" t="str">
        <f aca="false">'Test Cases'!J10</f>
        <v>SPOT</v>
      </c>
      <c r="F10" s="0" t="str">
        <f aca="false">'Test Cases'!K10</f>
        <v>TRUCKLOAD</v>
      </c>
      <c r="G10" s="0" t="str">
        <f aca="false">'Test Cases'!L10</f>
        <v>DRY_VAN</v>
      </c>
      <c r="H10" s="0" t="n">
        <f aca="false">'Test Cases'!M10</f>
        <v>500</v>
      </c>
      <c r="I10" s="0" t="str">
        <f aca="false">'Test Cases'!N10</f>
        <v>MILES</v>
      </c>
      <c r="J10" s="0" t="n">
        <f aca="false">'Test Cases'!O10</f>
        <v>40000</v>
      </c>
      <c r="K10" s="0" t="str">
        <f aca="false">'Test Cases'!P10</f>
        <v>LB</v>
      </c>
      <c r="L10" s="0" t="str">
        <f aca="false">'Test Cases'!Q10</f>
        <v>Test Carrier 1 Inc</v>
      </c>
      <c r="M10" s="0" t="str">
        <f aca="false">'Test Cases'!R10</f>
        <v>CAR1</v>
      </c>
      <c r="N10" s="0" t="str">
        <f aca="false">IF(ISBLANK('Test Cases'!S10),"",'Test Cases'!S10)</f>
        <v/>
      </c>
      <c r="O10" s="0" t="str">
        <f aca="false">IF(ISBLANK('Test Cases'!T10),"",'Test Cases'!T10)</f>
        <v/>
      </c>
      <c r="P10" s="0" t="str">
        <f aca="false">IF(ISBLANK('Test Cases'!U10),"",'Test Cases'!U10)</f>
        <v/>
      </c>
      <c r="Q10" s="0" t="n">
        <f aca="false">'Test Cases'!V10</f>
        <v>1</v>
      </c>
      <c r="R10" s="0" t="str">
        <f aca="false">'Test Cases'!W10</f>
        <v>PICKUP</v>
      </c>
      <c r="S10" s="0" t="str">
        <f aca="false">'Test Cases'!X10</f>
        <v>LIVE</v>
      </c>
      <c r="T10" s="0" t="str">
        <f aca="false">'Test Cases'!Y10</f>
        <v>Newark Fulfillment</v>
      </c>
      <c r="U10" s="0" t="str">
        <f aca="false">'Test Cases'!Z10</f>
        <v>NWK-FC</v>
      </c>
      <c r="V10" s="0" t="str">
        <f aca="false">'Test Cases'!AA10</f>
        <v>38811 Cherry St</v>
      </c>
      <c r="W10" s="0" t="str">
        <f aca="false">IF(ISBLANK('Test Cases'!AB10),"",'Test Cases'!AB10)</f>
        <v/>
      </c>
      <c r="X10" s="0" t="str">
        <f aca="false">'Test Cases'!AC10</f>
        <v>Newark</v>
      </c>
      <c r="Y10" s="0" t="str">
        <f aca="false">'Test Cases'!AD10</f>
        <v>CA</v>
      </c>
      <c r="Z10" s="0" t="str">
        <f aca="false">'Test Cases'!AE10</f>
        <v>94560</v>
      </c>
      <c r="AA10" s="0" t="str">
        <f aca="false">'Test Cases'!AF10</f>
        <v>US</v>
      </c>
      <c r="AB10" s="0" t="str">
        <f aca="false">'Test Cases'!AG10</f>
        <v>APPOINTMENT</v>
      </c>
      <c r="AC10" s="0" t="str">
        <f aca="false">'Test Cases'!AH10</f>
        <v>2025-01-15T08:00:00Z</v>
      </c>
      <c r="AD10" s="0" t="str">
        <f aca="false">'Test Cases'!AI10</f>
        <v>2025-01-15T10:00:00Z</v>
      </c>
      <c r="AE10" s="0" t="str">
        <f aca="false">'Test Cases'!AJ10</f>
        <v>2025-01-15T08:00:00Z</v>
      </c>
      <c r="AF10" s="0" t="str">
        <f aca="false">'Test Cases'!AK10</f>
        <v>2025-01-15T10:00:00Z</v>
      </c>
      <c r="AG10" s="0" t="str">
        <f aca="false">'Test Cases'!AL10</f>
        <v>2025-01-15T08:00:00Z</v>
      </c>
      <c r="AH10" s="0" t="str">
        <f aca="false">'Test Cases'!AM10</f>
        <v>2025-01-15T08:30:00Z</v>
      </c>
      <c r="AI10" s="0" t="str">
        <f aca="false">IF(ISBLANK('Test Cases'!AN10),"",'Test Cases'!AN10)</f>
        <v/>
      </c>
      <c r="AJ10" s="0" t="n">
        <f aca="false">'Test Cases'!AO10</f>
        <v>2</v>
      </c>
      <c r="AK10" s="0" t="str">
        <f aca="false">'Test Cases'!AP10</f>
        <v>DELIVERY</v>
      </c>
      <c r="AL10" s="0" t="str">
        <f aca="false">'Test Cases'!AQ10</f>
        <v>LIVE</v>
      </c>
      <c r="AM10" s="0" t="str">
        <f aca="false">'Test Cases'!AR10</f>
        <v>Orlando DC</v>
      </c>
      <c r="AN10" s="0" t="str">
        <f aca="false">'Test Cases'!AS10</f>
        <v>ORL-DC</v>
      </c>
      <c r="AO10" s="0" t="str">
        <f aca="false">'Test Cases'!AT10</f>
        <v>12340 Boggy Creek Rd</v>
      </c>
      <c r="AP10" s="0" t="str">
        <f aca="false">IF(ISBLANK('Test Cases'!AU10),"",'Test Cases'!AU10)</f>
        <v/>
      </c>
      <c r="AQ10" s="0" t="str">
        <f aca="false">'Test Cases'!AV10</f>
        <v>Orlando</v>
      </c>
      <c r="AR10" s="0" t="str">
        <f aca="false">'Test Cases'!AW10</f>
        <v>FL</v>
      </c>
      <c r="AS10" s="0" t="str">
        <f aca="false">'Test Cases'!AX10</f>
        <v>32824</v>
      </c>
      <c r="AT10" s="0" t="str">
        <f aca="false">'Test Cases'!AY10</f>
        <v>US</v>
      </c>
      <c r="AU10" s="0" t="str">
        <f aca="false">'Test Cases'!AZ10</f>
        <v>APPOINTMENT</v>
      </c>
      <c r="AV10" s="0" t="str">
        <f aca="false">'Test Cases'!BA10</f>
        <v>2025-01-17T10:00:00Z</v>
      </c>
      <c r="AW10" s="0" t="str">
        <f aca="false">'Test Cases'!BB10</f>
        <v>2025-01-17T14:00:00Z</v>
      </c>
      <c r="AX10" s="0" t="str">
        <f aca="false">'Test Cases'!BC10</f>
        <v>2025-01-17T10:00:00Z</v>
      </c>
      <c r="AY10" s="0" t="str">
        <f aca="false">'Test Cases'!BD10</f>
        <v>2025-01-17T14:00:00Z</v>
      </c>
      <c r="AZ10" s="0" t="str">
        <f aca="false">'Test Cases'!BE10</f>
        <v>2025-01-17T10:00:00Z</v>
      </c>
      <c r="BA10" s="0" t="str">
        <f aca="false">'Test Cases'!BF10</f>
        <v>2025-01-17T10:30:00Z</v>
      </c>
      <c r="BB10" s="0" t="str">
        <f aca="false">IF(ISBLANK('Test Cases'!BG10),"",'Test Cases'!BG10)</f>
        <v/>
      </c>
    </row>
    <row r="11" customFormat="false" ht="15" hidden="false" customHeight="false" outlineLevel="0" collapsed="false">
      <c r="A11" s="0" t="str">
        <f aca="false">'Test Cases'!F11</f>
        <v>20251229-SHIP-010</v>
      </c>
      <c r="B11" s="0" t="str">
        <f aca="false">'Test Cases'!G11</f>
        <v>20251229-TNDR-010</v>
      </c>
      <c r="C11" s="0" t="str">
        <f aca="false">'Test Cases'!H11</f>
        <v>SHIPMENT</v>
      </c>
      <c r="D11" s="0" t="str">
        <f aca="false">'Test Cases'!I11</f>
        <v>COMPLETED</v>
      </c>
      <c r="E11" s="0" t="str">
        <f aca="false">'Test Cases'!J11</f>
        <v>SPOT</v>
      </c>
      <c r="F11" s="0" t="str">
        <f aca="false">'Test Cases'!K11</f>
        <v>TRUCKLOAD</v>
      </c>
      <c r="G11" s="0" t="str">
        <f aca="false">'Test Cases'!L11</f>
        <v>DRY_VAN</v>
      </c>
      <c r="H11" s="0" t="n">
        <f aca="false">'Test Cases'!M11</f>
        <v>500</v>
      </c>
      <c r="I11" s="0" t="str">
        <f aca="false">'Test Cases'!N11</f>
        <v>MILES</v>
      </c>
      <c r="J11" s="0" t="n">
        <f aca="false">'Test Cases'!O11</f>
        <v>40000</v>
      </c>
      <c r="K11" s="0" t="str">
        <f aca="false">'Test Cases'!P11</f>
        <v>LB</v>
      </c>
      <c r="L11" s="0" t="str">
        <f aca="false">'Test Cases'!Q11</f>
        <v>Test Carrier 2 Inc</v>
      </c>
      <c r="M11" s="0" t="str">
        <f aca="false">'Test Cases'!R11</f>
        <v>CAR2</v>
      </c>
      <c r="N11" s="0" t="str">
        <f aca="false">IF(ISBLANK('Test Cases'!S11),"",'Test Cases'!S11)</f>
        <v/>
      </c>
      <c r="O11" s="0" t="str">
        <f aca="false">IF(ISBLANK('Test Cases'!T11),"",'Test Cases'!T11)</f>
        <v/>
      </c>
      <c r="P11" s="0" t="str">
        <f aca="false">IF(ISBLANK('Test Cases'!U11),"",'Test Cases'!U11)</f>
        <v/>
      </c>
      <c r="Q11" s="0" t="n">
        <f aca="false">'Test Cases'!V11</f>
        <v>1</v>
      </c>
      <c r="R11" s="0" t="str">
        <f aca="false">'Test Cases'!W11</f>
        <v>PICKUP</v>
      </c>
      <c r="S11" s="0" t="str">
        <f aca="false">'Test Cases'!X11</f>
        <v>LIVE</v>
      </c>
      <c r="T11" s="0" t="str">
        <f aca="false">'Test Cases'!Y11</f>
        <v>Amazon OAK3</v>
      </c>
      <c r="U11" s="0" t="str">
        <f aca="false">'Test Cases'!Z11</f>
        <v>OAK3</v>
      </c>
      <c r="V11" s="0" t="str">
        <f aca="false">'Test Cases'!AA11</f>
        <v>255 Park Center Drive</v>
      </c>
      <c r="W11" s="0" t="str">
        <f aca="false">IF(ISBLANK('Test Cases'!AB11),"",'Test Cases'!AB11)</f>
        <v/>
      </c>
      <c r="X11" s="0" t="str">
        <f aca="false">'Test Cases'!AC11</f>
        <v>Patterson</v>
      </c>
      <c r="Y11" s="0" t="str">
        <f aca="false">'Test Cases'!AD11</f>
        <v>CA</v>
      </c>
      <c r="Z11" s="0" t="str">
        <f aca="false">'Test Cases'!AE11</f>
        <v>95363</v>
      </c>
      <c r="AA11" s="0" t="str">
        <f aca="false">'Test Cases'!AF11</f>
        <v>US</v>
      </c>
      <c r="AB11" s="0" t="str">
        <f aca="false">'Test Cases'!AG11</f>
        <v>APPOINTMENT</v>
      </c>
      <c r="AC11" s="0" t="str">
        <f aca="false">'Test Cases'!AH11</f>
        <v>2025-01-15T08:00:00Z</v>
      </c>
      <c r="AD11" s="0" t="str">
        <f aca="false">'Test Cases'!AI11</f>
        <v>2025-01-15T10:00:00Z</v>
      </c>
      <c r="AE11" s="0" t="str">
        <f aca="false">'Test Cases'!AJ11</f>
        <v>2025-01-15T08:00:00Z</v>
      </c>
      <c r="AF11" s="0" t="str">
        <f aca="false">'Test Cases'!AK11</f>
        <v>2025-01-15T10:00:00Z</v>
      </c>
      <c r="AG11" s="0" t="str">
        <f aca="false">'Test Cases'!AL11</f>
        <v>2025-01-15T08:00:00Z</v>
      </c>
      <c r="AH11" s="0" t="str">
        <f aca="false">'Test Cases'!AM11</f>
        <v>2025-01-15T08:30:00Z</v>
      </c>
      <c r="AI11" s="0" t="str">
        <f aca="false">IF(ISBLANK('Test Cases'!AN11),"",'Test Cases'!AN11)</f>
        <v/>
      </c>
      <c r="AJ11" s="0" t="n">
        <f aca="false">'Test Cases'!AO11</f>
        <v>2</v>
      </c>
      <c r="AK11" s="0" t="str">
        <f aca="false">'Test Cases'!AP11</f>
        <v>DELIVERY</v>
      </c>
      <c r="AL11" s="0" t="str">
        <f aca="false">'Test Cases'!AQ11</f>
        <v>LIVE</v>
      </c>
      <c r="AM11" s="0" t="str">
        <f aca="false">'Test Cases'!AR11</f>
        <v>Chicago Hub</v>
      </c>
      <c r="AN11" s="0" t="str">
        <f aca="false">'Test Cases'!AS11</f>
        <v>CHI-HUB</v>
      </c>
      <c r="AO11" s="0" t="str">
        <f aca="false">'Test Cases'!AT11</f>
        <v>1650 Glenn Curtiss St</v>
      </c>
      <c r="AP11" s="0" t="str">
        <f aca="false">IF(ISBLANK('Test Cases'!AU11),"",'Test Cases'!AU11)</f>
        <v/>
      </c>
      <c r="AQ11" s="0" t="str">
        <f aca="false">'Test Cases'!AV11</f>
        <v>Elk Grove Village</v>
      </c>
      <c r="AR11" s="0" t="str">
        <f aca="false">'Test Cases'!AW11</f>
        <v>IL</v>
      </c>
      <c r="AS11" s="0" t="str">
        <f aca="false">'Test Cases'!AX11</f>
        <v>60007</v>
      </c>
      <c r="AT11" s="0" t="str">
        <f aca="false">'Test Cases'!AY11</f>
        <v>US</v>
      </c>
      <c r="AU11" s="0" t="str">
        <f aca="false">'Test Cases'!AZ11</f>
        <v>APPOINTMENT</v>
      </c>
      <c r="AV11" s="0" t="str">
        <f aca="false">'Test Cases'!BA11</f>
        <v>2025-01-17T10:00:00Z</v>
      </c>
      <c r="AW11" s="0" t="str">
        <f aca="false">'Test Cases'!BB11</f>
        <v>2025-01-17T14:00:00Z</v>
      </c>
      <c r="AX11" s="0" t="str">
        <f aca="false">'Test Cases'!BC11</f>
        <v>2025-01-17T10:00:00Z</v>
      </c>
      <c r="AY11" s="0" t="str">
        <f aca="false">'Test Cases'!BD11</f>
        <v>2025-01-17T14:00:00Z</v>
      </c>
      <c r="AZ11" s="0" t="str">
        <f aca="false">'Test Cases'!BE11</f>
        <v>2025-01-17T10:00:00Z</v>
      </c>
      <c r="BA11" s="0" t="str">
        <f aca="false">'Test Cases'!BF11</f>
        <v>2025-01-17T10:30:00Z</v>
      </c>
      <c r="BB11" s="0" t="str">
        <f aca="false">IF(ISBLANK('Test Cases'!BG11),"",'Test Cases'!BG11)</f>
        <v/>
      </c>
    </row>
    <row r="12" customFormat="false" ht="15" hidden="false" customHeight="false" outlineLevel="0" collapsed="false">
      <c r="A12" s="0" t="str">
        <f aca="false">'Test Cases'!F12</f>
        <v>20251229-SHIP-011</v>
      </c>
      <c r="B12" s="0" t="str">
        <f aca="false">'Test Cases'!G12</f>
        <v>20251229-TNDR-011</v>
      </c>
      <c r="C12" s="0" t="str">
        <f aca="false">'Test Cases'!H12</f>
        <v>SHIPMENT</v>
      </c>
      <c r="D12" s="0" t="str">
        <f aca="false">'Test Cases'!I12</f>
        <v>COMPLETED</v>
      </c>
      <c r="E12" s="0" t="str">
        <f aca="false">'Test Cases'!J12</f>
        <v>SPOT</v>
      </c>
      <c r="F12" s="0" t="str">
        <f aca="false">'Test Cases'!K12</f>
        <v>TRUCKLOAD</v>
      </c>
      <c r="G12" s="0" t="str">
        <f aca="false">'Test Cases'!L12</f>
        <v>DRY_VAN</v>
      </c>
      <c r="H12" s="0" t="n">
        <f aca="false">'Test Cases'!M12</f>
        <v>500</v>
      </c>
      <c r="I12" s="0" t="str">
        <f aca="false">'Test Cases'!N12</f>
        <v>MILES</v>
      </c>
      <c r="J12" s="0" t="n">
        <f aca="false">'Test Cases'!O12</f>
        <v>40000</v>
      </c>
      <c r="K12" s="0" t="str">
        <f aca="false">'Test Cases'!P12</f>
        <v>LB</v>
      </c>
      <c r="L12" s="0" t="str">
        <f aca="false">'Test Cases'!Q12</f>
        <v>Test Carrier 1 Inc</v>
      </c>
      <c r="M12" s="0" t="str">
        <f aca="false">'Test Cases'!R12</f>
        <v>CAR1</v>
      </c>
      <c r="N12" s="0" t="str">
        <f aca="false">IF(ISBLANK('Test Cases'!S12),"",'Test Cases'!S12)</f>
        <v/>
      </c>
      <c r="O12" s="0" t="str">
        <f aca="false">IF(ISBLANK('Test Cases'!T12),"",'Test Cases'!T12)</f>
        <v/>
      </c>
      <c r="P12" s="0" t="str">
        <f aca="false">IF(ISBLANK('Test Cases'!U12),"",'Test Cases'!U12)</f>
        <v/>
      </c>
      <c r="Q12" s="0" t="n">
        <f aca="false">'Test Cases'!V12</f>
        <v>1</v>
      </c>
      <c r="R12" s="0" t="str">
        <f aca="false">'Test Cases'!W12</f>
        <v>PICKUP</v>
      </c>
      <c r="S12" s="0" t="str">
        <f aca="false">'Test Cases'!X12</f>
        <v>LIVE</v>
      </c>
      <c r="T12" s="0" t="str">
        <f aca="false">'Test Cases'!Y12</f>
        <v>Patterson DC</v>
      </c>
      <c r="U12" s="0" t="str">
        <f aca="false">'Test Cases'!Z12</f>
        <v>PAT-DC</v>
      </c>
      <c r="V12" s="0" t="str">
        <f aca="false">'Test Cases'!AA12</f>
        <v>255 Park Center Dr</v>
      </c>
      <c r="W12" s="0" t="str">
        <f aca="false">IF(ISBLANK('Test Cases'!AB12),"",'Test Cases'!AB12)</f>
        <v/>
      </c>
      <c r="X12" s="0" t="str">
        <f aca="false">'Test Cases'!AC12</f>
        <v>Patterson</v>
      </c>
      <c r="Y12" s="0" t="str">
        <f aca="false">'Test Cases'!AD12</f>
        <v>CA</v>
      </c>
      <c r="Z12" s="0" t="str">
        <f aca="false">'Test Cases'!AE12</f>
        <v>95363</v>
      </c>
      <c r="AA12" s="0" t="str">
        <f aca="false">'Test Cases'!AF12</f>
        <v>US</v>
      </c>
      <c r="AB12" s="0" t="str">
        <f aca="false">'Test Cases'!AG12</f>
        <v>APPOINTMENT</v>
      </c>
      <c r="AC12" s="0" t="str">
        <f aca="false">'Test Cases'!AH12</f>
        <v>2025-01-15T08:00:00Z</v>
      </c>
      <c r="AD12" s="0" t="str">
        <f aca="false">'Test Cases'!AI12</f>
        <v>2025-01-15T10:00:00Z</v>
      </c>
      <c r="AE12" s="0" t="str">
        <f aca="false">'Test Cases'!AJ12</f>
        <v>2025-01-15T08:00:00Z</v>
      </c>
      <c r="AF12" s="0" t="str">
        <f aca="false">'Test Cases'!AK12</f>
        <v>2025-01-15T10:00:00Z</v>
      </c>
      <c r="AG12" s="0" t="str">
        <f aca="false">'Test Cases'!AL12</f>
        <v>2025-01-15T08:00:00Z</v>
      </c>
      <c r="AH12" s="0" t="str">
        <f aca="false">'Test Cases'!AM12</f>
        <v>2025-01-15T08:30:00Z</v>
      </c>
      <c r="AI12" s="0" t="str">
        <f aca="false">IF(ISBLANK('Test Cases'!AN12),"",'Test Cases'!AN12)</f>
        <v/>
      </c>
      <c r="AJ12" s="0" t="n">
        <f aca="false">'Test Cases'!AO12</f>
        <v>2</v>
      </c>
      <c r="AK12" s="0" t="str">
        <f aca="false">'Test Cases'!AP12</f>
        <v>DELIVERY</v>
      </c>
      <c r="AL12" s="0" t="str">
        <f aca="false">'Test Cases'!AQ12</f>
        <v>LIVE</v>
      </c>
      <c r="AM12" s="0" t="str">
        <f aca="false">'Test Cases'!AR12</f>
        <v>Denver Crossdock</v>
      </c>
      <c r="AN12" s="0" t="str">
        <f aca="false">'Test Cases'!AS12</f>
        <v>DEN-CD</v>
      </c>
      <c r="AO12" s="0" t="str">
        <f aca="false">'Test Cases'!AT12</f>
        <v>18901 E 39th Ave</v>
      </c>
      <c r="AP12" s="0" t="str">
        <f aca="false">IF(ISBLANK('Test Cases'!AU12),"",'Test Cases'!AU12)</f>
        <v/>
      </c>
      <c r="AQ12" s="0" t="str">
        <f aca="false">'Test Cases'!AV12</f>
        <v>Denver</v>
      </c>
      <c r="AR12" s="0" t="str">
        <f aca="false">'Test Cases'!AW12</f>
        <v>CO</v>
      </c>
      <c r="AS12" s="0" t="str">
        <f aca="false">'Test Cases'!AX12</f>
        <v>80249</v>
      </c>
      <c r="AT12" s="0" t="str">
        <f aca="false">'Test Cases'!AY12</f>
        <v>US</v>
      </c>
      <c r="AU12" s="0" t="str">
        <f aca="false">'Test Cases'!AZ12</f>
        <v>APPOINTMENT</v>
      </c>
      <c r="AV12" s="0" t="str">
        <f aca="false">'Test Cases'!BA12</f>
        <v>2025-01-17T10:00:00Z</v>
      </c>
      <c r="AW12" s="0" t="str">
        <f aca="false">'Test Cases'!BB12</f>
        <v>2025-01-17T14:00:00Z</v>
      </c>
      <c r="AX12" s="0" t="str">
        <f aca="false">'Test Cases'!BC12</f>
        <v>2025-01-17T10:00:00Z</v>
      </c>
      <c r="AY12" s="0" t="str">
        <f aca="false">'Test Cases'!BD12</f>
        <v>2025-01-17T14:00:00Z</v>
      </c>
      <c r="AZ12" s="0" t="str">
        <f aca="false">'Test Cases'!BE12</f>
        <v>2025-01-17T10:00:00Z</v>
      </c>
      <c r="BA12" s="0" t="str">
        <f aca="false">'Test Cases'!BF12</f>
        <v>2025-01-17T10:30:00Z</v>
      </c>
      <c r="BB12" s="0" t="str">
        <f aca="false">IF(ISBLANK('Test Cases'!BG12),"",'Test Cases'!BG12)</f>
        <v/>
      </c>
    </row>
    <row r="13" customFormat="false" ht="15" hidden="false" customHeight="false" outlineLevel="0" collapsed="false">
      <c r="A13" s="0" t="str">
        <f aca="false">'Test Cases'!F13</f>
        <v>20251229-SHIP-012</v>
      </c>
      <c r="B13" s="0" t="str">
        <f aca="false">'Test Cases'!G13</f>
        <v>20251229-TNDR-012</v>
      </c>
      <c r="C13" s="0" t="str">
        <f aca="false">'Test Cases'!H13</f>
        <v>SHIPMENT</v>
      </c>
      <c r="D13" s="0" t="str">
        <f aca="false">'Test Cases'!I13</f>
        <v>COMPLETED</v>
      </c>
      <c r="E13" s="0" t="str">
        <f aca="false">'Test Cases'!J13</f>
        <v>SPOT</v>
      </c>
      <c r="F13" s="0" t="str">
        <f aca="false">'Test Cases'!K13</f>
        <v>TRUCKLOAD</v>
      </c>
      <c r="G13" s="0" t="str">
        <f aca="false">'Test Cases'!L13</f>
        <v>DRY_VAN</v>
      </c>
      <c r="H13" s="0" t="n">
        <f aca="false">'Test Cases'!M13</f>
        <v>500</v>
      </c>
      <c r="I13" s="0" t="str">
        <f aca="false">'Test Cases'!N13</f>
        <v>MILES</v>
      </c>
      <c r="J13" s="0" t="n">
        <f aca="false">'Test Cases'!O13</f>
        <v>40000</v>
      </c>
      <c r="K13" s="0" t="str">
        <f aca="false">'Test Cases'!P13</f>
        <v>LB</v>
      </c>
      <c r="L13" s="0" t="str">
        <f aca="false">'Test Cases'!Q13</f>
        <v>Test Carrier 2 Inc</v>
      </c>
      <c r="M13" s="0" t="str">
        <f aca="false">'Test Cases'!R13</f>
        <v>CAR2</v>
      </c>
      <c r="N13" s="0" t="str">
        <f aca="false">IF(ISBLANK('Test Cases'!S13),"",'Test Cases'!S13)</f>
        <v/>
      </c>
      <c r="O13" s="0" t="str">
        <f aca="false">IF(ISBLANK('Test Cases'!T13),"",'Test Cases'!T13)</f>
        <v/>
      </c>
      <c r="P13" s="0" t="str">
        <f aca="false">IF(ISBLANK('Test Cases'!U13),"",'Test Cases'!U13)</f>
        <v/>
      </c>
      <c r="Q13" s="0" t="n">
        <f aca="false">'Test Cases'!V13</f>
        <v>1</v>
      </c>
      <c r="R13" s="0" t="str">
        <f aca="false">'Test Cases'!W13</f>
        <v>PICKUP</v>
      </c>
      <c r="S13" s="0" t="str">
        <f aca="false">'Test Cases'!X13</f>
        <v>LIVE</v>
      </c>
      <c r="T13" s="0" t="str">
        <f aca="false">'Test Cases'!Y13</f>
        <v>Amazon BNA5</v>
      </c>
      <c r="U13" s="0" t="str">
        <f aca="false">'Test Cases'!Z13</f>
        <v>BNA5</v>
      </c>
      <c r="V13" s="0" t="str">
        <f aca="false">'Test Cases'!AA13</f>
        <v>50 Airways Blvd</v>
      </c>
      <c r="W13" s="0" t="str">
        <f aca="false">IF(ISBLANK('Test Cases'!AB13),"",'Test Cases'!AB13)</f>
        <v/>
      </c>
      <c r="X13" s="0" t="str">
        <f aca="false">'Test Cases'!AC13</f>
        <v>Nashville</v>
      </c>
      <c r="Y13" s="0" t="str">
        <f aca="false">'Test Cases'!AD13</f>
        <v>TN</v>
      </c>
      <c r="Z13" s="0" t="str">
        <f aca="false">'Test Cases'!AE13</f>
        <v>37217</v>
      </c>
      <c r="AA13" s="0" t="str">
        <f aca="false">'Test Cases'!AF13</f>
        <v>US</v>
      </c>
      <c r="AB13" s="0" t="str">
        <f aca="false">'Test Cases'!AG13</f>
        <v>APPOINTMENT</v>
      </c>
      <c r="AC13" s="0" t="str">
        <f aca="false">'Test Cases'!AH13</f>
        <v>2025-01-15T08:00:00Z</v>
      </c>
      <c r="AD13" s="0" t="str">
        <f aca="false">'Test Cases'!AI13</f>
        <v>2025-01-15T10:00:00Z</v>
      </c>
      <c r="AE13" s="0" t="str">
        <f aca="false">'Test Cases'!AJ13</f>
        <v>2025-01-15T08:00:00Z</v>
      </c>
      <c r="AF13" s="0" t="str">
        <f aca="false">'Test Cases'!AK13</f>
        <v>2025-01-15T10:00:00Z</v>
      </c>
      <c r="AG13" s="0" t="str">
        <f aca="false">'Test Cases'!AL13</f>
        <v>2025-01-15T08:00:00Z</v>
      </c>
      <c r="AH13" s="0" t="str">
        <f aca="false">'Test Cases'!AM13</f>
        <v>2025-01-15T08:30:00Z</v>
      </c>
      <c r="AI13" s="0" t="str">
        <f aca="false">IF(ISBLANK('Test Cases'!AN13),"",'Test Cases'!AN13)</f>
        <v/>
      </c>
      <c r="AJ13" s="0" t="n">
        <f aca="false">'Test Cases'!AO13</f>
        <v>2</v>
      </c>
      <c r="AK13" s="0" t="str">
        <f aca="false">'Test Cases'!AP13</f>
        <v>DELIVERY</v>
      </c>
      <c r="AL13" s="0" t="str">
        <f aca="false">'Test Cases'!AQ13</f>
        <v>LIVE</v>
      </c>
      <c r="AM13" s="0" t="str">
        <f aca="false">'Test Cases'!AR13</f>
        <v>Jacksonville FC</v>
      </c>
      <c r="AN13" s="0" t="str">
        <f aca="false">'Test Cases'!AS13</f>
        <v>JAX-FC</v>
      </c>
      <c r="AO13" s="0" t="str">
        <f aca="false">'Test Cases'!AT13</f>
        <v>12900 Pecan Park Road</v>
      </c>
      <c r="AP13" s="0" t="str">
        <f aca="false">IF(ISBLANK('Test Cases'!AU13),"",'Test Cases'!AU13)</f>
        <v/>
      </c>
      <c r="AQ13" s="0" t="str">
        <f aca="false">'Test Cases'!AV13</f>
        <v>Jacksonville</v>
      </c>
      <c r="AR13" s="0" t="str">
        <f aca="false">'Test Cases'!AW13</f>
        <v>FL</v>
      </c>
      <c r="AS13" s="0" t="str">
        <f aca="false">'Test Cases'!AX13</f>
        <v>32218</v>
      </c>
      <c r="AT13" s="0" t="str">
        <f aca="false">'Test Cases'!AY13</f>
        <v>US</v>
      </c>
      <c r="AU13" s="0" t="str">
        <f aca="false">'Test Cases'!AZ13</f>
        <v>APPOINTMENT</v>
      </c>
      <c r="AV13" s="0" t="str">
        <f aca="false">'Test Cases'!BA13</f>
        <v>2025-01-17T10:00:00Z</v>
      </c>
      <c r="AW13" s="0" t="str">
        <f aca="false">'Test Cases'!BB13</f>
        <v>2025-01-17T14:00:00Z</v>
      </c>
      <c r="AX13" s="0" t="str">
        <f aca="false">'Test Cases'!BC13</f>
        <v>2025-01-17T10:00:00Z</v>
      </c>
      <c r="AY13" s="0" t="str">
        <f aca="false">'Test Cases'!BD13</f>
        <v>2025-01-17T14:00:00Z</v>
      </c>
      <c r="AZ13" s="0" t="str">
        <f aca="false">'Test Cases'!BE13</f>
        <v>2025-01-17T10:00:00Z</v>
      </c>
      <c r="BA13" s="0" t="str">
        <f aca="false">'Test Cases'!BF13</f>
        <v>2025-01-17T10:30:00Z</v>
      </c>
      <c r="BB13" s="0" t="str">
        <f aca="false">IF(ISBLANK('Test Cases'!BG13),"",'Test Cases'!BG13)</f>
        <v/>
      </c>
    </row>
    <row r="14" customFormat="false" ht="15" hidden="false" customHeight="false" outlineLevel="0" collapsed="false">
      <c r="A14" s="0" t="str">
        <f aca="false">'Test Cases'!F14</f>
        <v>20251229-SHIP-013</v>
      </c>
      <c r="B14" s="0" t="str">
        <f aca="false">'Test Cases'!G14</f>
        <v>20251229-TNDR-013</v>
      </c>
      <c r="C14" s="0" t="str">
        <f aca="false">'Test Cases'!H14</f>
        <v>SHIPMENT</v>
      </c>
      <c r="D14" s="0" t="str">
        <f aca="false">'Test Cases'!I14</f>
        <v>COMPLETED</v>
      </c>
      <c r="E14" s="0" t="str">
        <f aca="false">'Test Cases'!J14</f>
        <v>SPOT</v>
      </c>
      <c r="F14" s="0" t="str">
        <f aca="false">'Test Cases'!K14</f>
        <v>TRUCKLOAD</v>
      </c>
      <c r="G14" s="0" t="str">
        <f aca="false">'Test Cases'!L14</f>
        <v>DRY_VAN</v>
      </c>
      <c r="H14" s="0" t="n">
        <f aca="false">'Test Cases'!M14</f>
        <v>500</v>
      </c>
      <c r="I14" s="0" t="str">
        <f aca="false">'Test Cases'!N14</f>
        <v>MILES</v>
      </c>
      <c r="J14" s="0" t="n">
        <f aca="false">'Test Cases'!O14</f>
        <v>40000</v>
      </c>
      <c r="K14" s="0" t="str">
        <f aca="false">'Test Cases'!P14</f>
        <v>LB</v>
      </c>
      <c r="L14" s="0" t="str">
        <f aca="false">'Test Cases'!Q14</f>
        <v>Test Carrier 1 Inc</v>
      </c>
      <c r="M14" s="0" t="str">
        <f aca="false">'Test Cases'!R14</f>
        <v>CAR1</v>
      </c>
      <c r="N14" s="0" t="str">
        <f aca="false">IF(ISBLANK('Test Cases'!S14),"",'Test Cases'!S14)</f>
        <v/>
      </c>
      <c r="O14" s="0" t="str">
        <f aca="false">IF(ISBLANK('Test Cases'!T14),"",'Test Cases'!T14)</f>
        <v/>
      </c>
      <c r="P14" s="0" t="str">
        <f aca="false">IF(ISBLANK('Test Cases'!U14),"",'Test Cases'!U14)</f>
        <v/>
      </c>
      <c r="Q14" s="0" t="n">
        <f aca="false">'Test Cases'!V14</f>
        <v>1</v>
      </c>
      <c r="R14" s="0" t="str">
        <f aca="false">'Test Cases'!W14</f>
        <v>PICKUP</v>
      </c>
      <c r="S14" s="0" t="str">
        <f aca="false">'Test Cases'!X14</f>
        <v>LIVE</v>
      </c>
      <c r="T14" s="0" t="str">
        <f aca="false">'Test Cases'!Y14</f>
        <v>Nashville Airport Warehouse</v>
      </c>
      <c r="U14" s="0" t="str">
        <f aca="false">'Test Cases'!Z14</f>
        <v>NAW-001</v>
      </c>
      <c r="V14" s="0" t="str">
        <f aca="false">'Test Cases'!AA14</f>
        <v>50 Airways Boulevard</v>
      </c>
      <c r="W14" s="0" t="str">
        <f aca="false">IF(ISBLANK('Test Cases'!AB14),"",'Test Cases'!AB14)</f>
        <v/>
      </c>
      <c r="X14" s="0" t="str">
        <f aca="false">'Test Cases'!AC14</f>
        <v>Nashville</v>
      </c>
      <c r="Y14" s="0" t="str">
        <f aca="false">'Test Cases'!AD14</f>
        <v>TN</v>
      </c>
      <c r="Z14" s="0" t="str">
        <f aca="false">'Test Cases'!AE14</f>
        <v>37217</v>
      </c>
      <c r="AA14" s="0" t="str">
        <f aca="false">'Test Cases'!AF14</f>
        <v>US</v>
      </c>
      <c r="AB14" s="0" t="str">
        <f aca="false">'Test Cases'!AG14</f>
        <v>APPOINTMENT</v>
      </c>
      <c r="AC14" s="0" t="str">
        <f aca="false">'Test Cases'!AH14</f>
        <v>2025-01-15T08:00:00Z</v>
      </c>
      <c r="AD14" s="0" t="str">
        <f aca="false">'Test Cases'!AI14</f>
        <v>2025-01-15T10:00:00Z</v>
      </c>
      <c r="AE14" s="0" t="str">
        <f aca="false">'Test Cases'!AJ14</f>
        <v>2025-01-15T08:00:00Z</v>
      </c>
      <c r="AF14" s="0" t="str">
        <f aca="false">'Test Cases'!AK14</f>
        <v>2025-01-15T10:00:00Z</v>
      </c>
      <c r="AG14" s="0" t="str">
        <f aca="false">'Test Cases'!AL14</f>
        <v>2025-01-15T08:00:00Z</v>
      </c>
      <c r="AH14" s="0" t="str">
        <f aca="false">'Test Cases'!AM14</f>
        <v>2025-01-15T08:30:00Z</v>
      </c>
      <c r="AI14" s="0" t="str">
        <f aca="false">IF(ISBLANK('Test Cases'!AN14),"",'Test Cases'!AN14)</f>
        <v/>
      </c>
      <c r="AJ14" s="0" t="n">
        <f aca="false">'Test Cases'!AO14</f>
        <v>2</v>
      </c>
      <c r="AK14" s="0" t="str">
        <f aca="false">'Test Cases'!AP14</f>
        <v>DELIVERY</v>
      </c>
      <c r="AL14" s="0" t="str">
        <f aca="false">'Test Cases'!AQ14</f>
        <v>LIVE</v>
      </c>
      <c r="AM14" s="0" t="str">
        <f aca="false">'Test Cases'!AR14</f>
        <v>Miami Distribution</v>
      </c>
      <c r="AN14" s="0" t="str">
        <f aca="false">'Test Cases'!AS14</f>
        <v>MIA-DC</v>
      </c>
      <c r="AO14" s="0" t="str">
        <f aca="false">'Test Cases'!AT14</f>
        <v>1900 NW 132nd Place</v>
      </c>
      <c r="AP14" s="0" t="str">
        <f aca="false">IF(ISBLANK('Test Cases'!AU14),"",'Test Cases'!AU14)</f>
        <v/>
      </c>
      <c r="AQ14" s="0" t="str">
        <f aca="false">'Test Cases'!AV14</f>
        <v>Doral</v>
      </c>
      <c r="AR14" s="0" t="str">
        <f aca="false">'Test Cases'!AW14</f>
        <v>FL</v>
      </c>
      <c r="AS14" s="0" t="str">
        <f aca="false">'Test Cases'!AX14</f>
        <v>33182</v>
      </c>
      <c r="AT14" s="0" t="str">
        <f aca="false">'Test Cases'!AY14</f>
        <v>US</v>
      </c>
      <c r="AU14" s="0" t="str">
        <f aca="false">'Test Cases'!AZ14</f>
        <v>APPOINTMENT</v>
      </c>
      <c r="AV14" s="0" t="str">
        <f aca="false">'Test Cases'!BA14</f>
        <v>2025-01-17T10:00:00Z</v>
      </c>
      <c r="AW14" s="0" t="str">
        <f aca="false">'Test Cases'!BB14</f>
        <v>2025-01-17T14:00:00Z</v>
      </c>
      <c r="AX14" s="0" t="str">
        <f aca="false">'Test Cases'!BC14</f>
        <v>2025-01-17T10:00:00Z</v>
      </c>
      <c r="AY14" s="0" t="str">
        <f aca="false">'Test Cases'!BD14</f>
        <v>2025-01-17T14:00:00Z</v>
      </c>
      <c r="AZ14" s="0" t="str">
        <f aca="false">'Test Cases'!BE14</f>
        <v>2025-01-17T10:00:00Z</v>
      </c>
      <c r="BA14" s="0" t="str">
        <f aca="false">'Test Cases'!BF14</f>
        <v>2025-01-17T10:30:00Z</v>
      </c>
      <c r="BB14" s="0" t="str">
        <f aca="false">IF(ISBLANK('Test Cases'!BG14),"",'Test Cases'!BG14)</f>
        <v/>
      </c>
    </row>
    <row r="15" customFormat="false" ht="15" hidden="false" customHeight="false" outlineLevel="0" collapsed="false">
      <c r="A15" s="0" t="str">
        <f aca="false">'Test Cases'!F15</f>
        <v>20251229-SHIP-014</v>
      </c>
      <c r="B15" s="0" t="str">
        <f aca="false">'Test Cases'!G15</f>
        <v>20251229-TNDR-014</v>
      </c>
      <c r="C15" s="0" t="str">
        <f aca="false">'Test Cases'!H15</f>
        <v>SHIPMENT</v>
      </c>
      <c r="D15" s="0" t="str">
        <f aca="false">'Test Cases'!I15</f>
        <v>COMPLETED</v>
      </c>
      <c r="E15" s="0" t="str">
        <f aca="false">'Test Cases'!J15</f>
        <v>SPOT</v>
      </c>
      <c r="F15" s="0" t="str">
        <f aca="false">'Test Cases'!K15</f>
        <v>TRUCKLOAD</v>
      </c>
      <c r="G15" s="0" t="str">
        <f aca="false">'Test Cases'!L15</f>
        <v>DRY_VAN</v>
      </c>
      <c r="H15" s="0" t="n">
        <f aca="false">'Test Cases'!M15</f>
        <v>500</v>
      </c>
      <c r="I15" s="0" t="str">
        <f aca="false">'Test Cases'!N15</f>
        <v>MILES</v>
      </c>
      <c r="J15" s="0" t="n">
        <f aca="false">'Test Cases'!O15</f>
        <v>40000</v>
      </c>
      <c r="K15" s="0" t="str">
        <f aca="false">'Test Cases'!P15</f>
        <v>LB</v>
      </c>
      <c r="L15" s="0" t="str">
        <f aca="false">'Test Cases'!Q15</f>
        <v>Test Carrier 2 Inc</v>
      </c>
      <c r="M15" s="0" t="str">
        <f aca="false">'Test Cases'!R15</f>
        <v>CAR2</v>
      </c>
      <c r="N15" s="0" t="str">
        <f aca="false">IF(ISBLANK('Test Cases'!S15),"",'Test Cases'!S15)</f>
        <v/>
      </c>
      <c r="O15" s="0" t="str">
        <f aca="false">IF(ISBLANK('Test Cases'!T15),"",'Test Cases'!T15)</f>
        <v/>
      </c>
      <c r="P15" s="0" t="str">
        <f aca="false">IF(ISBLANK('Test Cases'!U15),"",'Test Cases'!U15)</f>
        <v/>
      </c>
      <c r="Q15" s="0" t="n">
        <f aca="false">'Test Cases'!V15</f>
        <v>1</v>
      </c>
      <c r="R15" s="0" t="str">
        <f aca="false">'Test Cases'!W15</f>
        <v>PICKUP</v>
      </c>
      <c r="S15" s="0" t="str">
        <f aca="false">'Test Cases'!X15</f>
        <v>LIVE</v>
      </c>
      <c r="T15" s="0" t="str">
        <f aca="false">'Test Cases'!Y15</f>
        <v>Amazon SFL1</v>
      </c>
      <c r="U15" s="0" t="str">
        <f aca="false">'Test Cases'!Z15</f>
        <v>SFL1</v>
      </c>
      <c r="V15" s="0" t="str">
        <f aca="false">'Test Cases'!AA15</f>
        <v>7469 Kingspointe Parkway</v>
      </c>
      <c r="W15" s="0" t="str">
        <f aca="false">IF(ISBLANK('Test Cases'!AB15),"",'Test Cases'!AB15)</f>
        <v/>
      </c>
      <c r="X15" s="0" t="str">
        <f aca="false">'Test Cases'!AC15</f>
        <v>Orlando</v>
      </c>
      <c r="Y15" s="0" t="str">
        <f aca="false">'Test Cases'!AD15</f>
        <v>FL</v>
      </c>
      <c r="Z15" s="0" t="str">
        <f aca="false">'Test Cases'!AE15</f>
        <v>32819</v>
      </c>
      <c r="AA15" s="0" t="str">
        <f aca="false">'Test Cases'!AF15</f>
        <v>US</v>
      </c>
      <c r="AB15" s="0" t="str">
        <f aca="false">'Test Cases'!AG15</f>
        <v>APPOINTMENT</v>
      </c>
      <c r="AC15" s="0" t="str">
        <f aca="false">'Test Cases'!AH15</f>
        <v>2025-01-15T08:00:00Z</v>
      </c>
      <c r="AD15" s="0" t="str">
        <f aca="false">'Test Cases'!AI15</f>
        <v>2025-01-15T10:00:00Z</v>
      </c>
      <c r="AE15" s="0" t="str">
        <f aca="false">'Test Cases'!AJ15</f>
        <v>2025-01-15T08:00:00Z</v>
      </c>
      <c r="AF15" s="0" t="str">
        <f aca="false">'Test Cases'!AK15</f>
        <v>2025-01-15T10:00:00Z</v>
      </c>
      <c r="AG15" s="0" t="str">
        <f aca="false">'Test Cases'!AL15</f>
        <v>2025-01-15T08:00:00Z</v>
      </c>
      <c r="AH15" s="0" t="str">
        <f aca="false">'Test Cases'!AM15</f>
        <v>2025-01-15T08:30:00Z</v>
      </c>
      <c r="AI15" s="0" t="str">
        <f aca="false">IF(ISBLANK('Test Cases'!AN15),"",'Test Cases'!AN15)</f>
        <v/>
      </c>
      <c r="AJ15" s="0" t="n">
        <f aca="false">'Test Cases'!AO15</f>
        <v>2</v>
      </c>
      <c r="AK15" s="0" t="str">
        <f aca="false">'Test Cases'!AP15</f>
        <v>DELIVERY</v>
      </c>
      <c r="AL15" s="0" t="str">
        <f aca="false">'Test Cases'!AQ15</f>
        <v>LIVE</v>
      </c>
      <c r="AM15" s="0" t="str">
        <f aca="false">'Test Cases'!AR15</f>
        <v>Tucson DC</v>
      </c>
      <c r="AN15" s="0" t="str">
        <f aca="false">'Test Cases'!AS15</f>
        <v>TUS-DC</v>
      </c>
      <c r="AO15" s="0" t="str">
        <f aca="false">'Test Cases'!AT15</f>
        <v>7200 Commerce Blvd</v>
      </c>
      <c r="AP15" s="0" t="str">
        <f aca="false">IF(ISBLANK('Test Cases'!AU15),"",'Test Cases'!AU15)</f>
        <v/>
      </c>
      <c r="AQ15" s="0" t="str">
        <f aca="false">'Test Cases'!AV15</f>
        <v>Tucson</v>
      </c>
      <c r="AR15" s="0" t="str">
        <f aca="false">'Test Cases'!AW15</f>
        <v>AZ</v>
      </c>
      <c r="AS15" s="0" t="str">
        <f aca="false">'Test Cases'!AX15</f>
        <v>85713</v>
      </c>
      <c r="AT15" s="0" t="str">
        <f aca="false">'Test Cases'!AY15</f>
        <v>US</v>
      </c>
      <c r="AU15" s="0" t="str">
        <f aca="false">'Test Cases'!AZ15</f>
        <v>APPOINTMENT</v>
      </c>
      <c r="AV15" s="0" t="str">
        <f aca="false">'Test Cases'!BA15</f>
        <v>2025-01-17T10:00:00Z</v>
      </c>
      <c r="AW15" s="0" t="str">
        <f aca="false">'Test Cases'!BB15</f>
        <v>2025-01-17T14:00:00Z</v>
      </c>
      <c r="AX15" s="0" t="str">
        <f aca="false">'Test Cases'!BC15</f>
        <v>2025-01-17T10:00:00Z</v>
      </c>
      <c r="AY15" s="0" t="str">
        <f aca="false">'Test Cases'!BD15</f>
        <v>2025-01-17T14:00:00Z</v>
      </c>
      <c r="AZ15" s="0" t="str">
        <f aca="false">'Test Cases'!BE15</f>
        <v>2025-01-17T10:00:00Z</v>
      </c>
      <c r="BA15" s="0" t="str">
        <f aca="false">'Test Cases'!BF15</f>
        <v>2025-01-17T10:30:00Z</v>
      </c>
      <c r="BB15" s="0" t="str">
        <f aca="false">IF(ISBLANK('Test Cases'!BG15),"",'Test Cases'!BG15)</f>
        <v/>
      </c>
    </row>
    <row r="16" customFormat="false" ht="15" hidden="false" customHeight="false" outlineLevel="0" collapsed="false">
      <c r="A16" s="0" t="str">
        <f aca="false">'Test Cases'!F16</f>
        <v>20251229-SHIP-015</v>
      </c>
      <c r="B16" s="0" t="str">
        <f aca="false">'Test Cases'!G16</f>
        <v>20251229-TNDR-015</v>
      </c>
      <c r="C16" s="0" t="str">
        <f aca="false">'Test Cases'!H16</f>
        <v>SHIPMENT</v>
      </c>
      <c r="D16" s="0" t="str">
        <f aca="false">'Test Cases'!I16</f>
        <v>COMPLETED</v>
      </c>
      <c r="E16" s="0" t="str">
        <f aca="false">'Test Cases'!J16</f>
        <v>SPOT</v>
      </c>
      <c r="F16" s="0" t="str">
        <f aca="false">'Test Cases'!K16</f>
        <v>TRUCKLOAD</v>
      </c>
      <c r="G16" s="0" t="str">
        <f aca="false">'Test Cases'!L16</f>
        <v>DRY_VAN</v>
      </c>
      <c r="H16" s="0" t="n">
        <f aca="false">'Test Cases'!M16</f>
        <v>500</v>
      </c>
      <c r="I16" s="0" t="str">
        <f aca="false">'Test Cases'!N16</f>
        <v>MILES</v>
      </c>
      <c r="J16" s="0" t="n">
        <f aca="false">'Test Cases'!O16</f>
        <v>40000</v>
      </c>
      <c r="K16" s="0" t="str">
        <f aca="false">'Test Cases'!P16</f>
        <v>LB</v>
      </c>
      <c r="L16" s="0" t="str">
        <f aca="false">'Test Cases'!Q16</f>
        <v>Test Carrier 1 Inc</v>
      </c>
      <c r="M16" s="0" t="str">
        <f aca="false">'Test Cases'!R16</f>
        <v>CAR1</v>
      </c>
      <c r="N16" s="0" t="str">
        <f aca="false">IF(ISBLANK('Test Cases'!S16),"",'Test Cases'!S16)</f>
        <v/>
      </c>
      <c r="O16" s="0" t="str">
        <f aca="false">IF(ISBLANK('Test Cases'!T16),"",'Test Cases'!T16)</f>
        <v/>
      </c>
      <c r="P16" s="0" t="str">
        <f aca="false">IF(ISBLANK('Test Cases'!U16),"",'Test Cases'!U16)</f>
        <v/>
      </c>
      <c r="Q16" s="0" t="n">
        <f aca="false">'Test Cases'!V16</f>
        <v>1</v>
      </c>
      <c r="R16" s="0" t="str">
        <f aca="false">'Test Cases'!W16</f>
        <v>PICKUP</v>
      </c>
      <c r="S16" s="0" t="str">
        <f aca="false">'Test Cases'!X16</f>
        <v>LIVE</v>
      </c>
      <c r="T16" s="0" t="str">
        <f aca="false">'Test Cases'!Y16</f>
        <v>Orlando Fulfillment</v>
      </c>
      <c r="U16" s="0" t="str">
        <f aca="false">'Test Cases'!Z16</f>
        <v>ORL-FC</v>
      </c>
      <c r="V16" s="0" t="str">
        <f aca="false">'Test Cases'!AA16</f>
        <v>7469 Kingspointe Pkwy</v>
      </c>
      <c r="W16" s="0" t="str">
        <f aca="false">IF(ISBLANK('Test Cases'!AB16),"",'Test Cases'!AB16)</f>
        <v/>
      </c>
      <c r="X16" s="0" t="str">
        <f aca="false">'Test Cases'!AC16</f>
        <v>Orlando</v>
      </c>
      <c r="Y16" s="0" t="str">
        <f aca="false">'Test Cases'!AD16</f>
        <v>FL</v>
      </c>
      <c r="Z16" s="0" t="str">
        <f aca="false">'Test Cases'!AE16</f>
        <v>32819</v>
      </c>
      <c r="AA16" s="0" t="str">
        <f aca="false">'Test Cases'!AF16</f>
        <v>US</v>
      </c>
      <c r="AB16" s="0" t="str">
        <f aca="false">'Test Cases'!AG16</f>
        <v>APPOINTMENT</v>
      </c>
      <c r="AC16" s="0" t="str">
        <f aca="false">'Test Cases'!AH16</f>
        <v>2025-01-15T08:00:00Z</v>
      </c>
      <c r="AD16" s="0" t="str">
        <f aca="false">'Test Cases'!AI16</f>
        <v>2025-01-15T10:00:00Z</v>
      </c>
      <c r="AE16" s="0" t="str">
        <f aca="false">'Test Cases'!AJ16</f>
        <v>2025-01-15T08:00:00Z</v>
      </c>
      <c r="AF16" s="0" t="str">
        <f aca="false">'Test Cases'!AK16</f>
        <v>2025-01-15T10:00:00Z</v>
      </c>
      <c r="AG16" s="0" t="str">
        <f aca="false">'Test Cases'!AL16</f>
        <v>2025-01-15T08:00:00Z</v>
      </c>
      <c r="AH16" s="0" t="str">
        <f aca="false">'Test Cases'!AM16</f>
        <v>2025-01-15T08:30:00Z</v>
      </c>
      <c r="AI16" s="0" t="str">
        <f aca="false">IF(ISBLANK('Test Cases'!AN16),"",'Test Cases'!AN16)</f>
        <v/>
      </c>
      <c r="AJ16" s="0" t="n">
        <f aca="false">'Test Cases'!AO16</f>
        <v>2</v>
      </c>
      <c r="AK16" s="0" t="str">
        <f aca="false">'Test Cases'!AP16</f>
        <v>DELIVERY</v>
      </c>
      <c r="AL16" s="0" t="str">
        <f aca="false">'Test Cases'!AQ16</f>
        <v>LIVE</v>
      </c>
      <c r="AM16" s="0" t="str">
        <f aca="false">'Test Cases'!AR16</f>
        <v>Salt Lake City Hub</v>
      </c>
      <c r="AN16" s="0" t="str">
        <f aca="false">'Test Cases'!AS16</f>
        <v>SLC-HUB</v>
      </c>
      <c r="AO16" s="0" t="str">
        <f aca="false">'Test Cases'!AT16</f>
        <v>5775 W Harold Gatty Dr</v>
      </c>
      <c r="AP16" s="0" t="str">
        <f aca="false">IF(ISBLANK('Test Cases'!AU16),"",'Test Cases'!AU16)</f>
        <v/>
      </c>
      <c r="AQ16" s="0" t="str">
        <f aca="false">'Test Cases'!AV16</f>
        <v>Salt Lake City</v>
      </c>
      <c r="AR16" s="0" t="str">
        <f aca="false">'Test Cases'!AW16</f>
        <v>UT</v>
      </c>
      <c r="AS16" s="0" t="str">
        <f aca="false">'Test Cases'!AX16</f>
        <v>84116</v>
      </c>
      <c r="AT16" s="0" t="str">
        <f aca="false">'Test Cases'!AY16</f>
        <v>US</v>
      </c>
      <c r="AU16" s="0" t="str">
        <f aca="false">'Test Cases'!AZ16</f>
        <v>APPOINTMENT</v>
      </c>
      <c r="AV16" s="0" t="str">
        <f aca="false">'Test Cases'!BA16</f>
        <v>2025-01-17T10:00:00Z</v>
      </c>
      <c r="AW16" s="0" t="str">
        <f aca="false">'Test Cases'!BB16</f>
        <v>2025-01-17T14:00:00Z</v>
      </c>
      <c r="AX16" s="0" t="str">
        <f aca="false">'Test Cases'!BC16</f>
        <v>2025-01-17T10:00:00Z</v>
      </c>
      <c r="AY16" s="0" t="str">
        <f aca="false">'Test Cases'!BD16</f>
        <v>2025-01-17T14:00:00Z</v>
      </c>
      <c r="AZ16" s="0" t="str">
        <f aca="false">'Test Cases'!BE16</f>
        <v>2025-01-17T10:00:00Z</v>
      </c>
      <c r="BA16" s="0" t="str">
        <f aca="false">'Test Cases'!BF16</f>
        <v>2025-01-17T10:30:00Z</v>
      </c>
      <c r="BB16" s="0" t="str">
        <f aca="false">IF(ISBLANK('Test Cases'!BG16),"",'Test Cases'!BG16)</f>
        <v/>
      </c>
    </row>
    <row r="17" customFormat="false" ht="15" hidden="false" customHeight="false" outlineLevel="0" collapsed="false">
      <c r="A17" s="0" t="str">
        <f aca="false">'Test Cases'!F17</f>
        <v>20251229-SHIP-016</v>
      </c>
      <c r="B17" s="0" t="str">
        <f aca="false">'Test Cases'!G17</f>
        <v>20251229-TNDR-016</v>
      </c>
      <c r="C17" s="0" t="str">
        <f aca="false">'Test Cases'!H17</f>
        <v>SHIPMENT</v>
      </c>
      <c r="D17" s="0" t="str">
        <f aca="false">'Test Cases'!I17</f>
        <v>COMPLETED</v>
      </c>
      <c r="E17" s="0" t="str">
        <f aca="false">'Test Cases'!J17</f>
        <v>SPOT</v>
      </c>
      <c r="F17" s="0" t="str">
        <f aca="false">'Test Cases'!K17</f>
        <v>TRUCKLOAD</v>
      </c>
      <c r="G17" s="0" t="str">
        <f aca="false">'Test Cases'!L17</f>
        <v>DRY_VAN</v>
      </c>
      <c r="H17" s="0" t="n">
        <f aca="false">'Test Cases'!M17</f>
        <v>500</v>
      </c>
      <c r="I17" s="0" t="str">
        <f aca="false">'Test Cases'!N17</f>
        <v>MILES</v>
      </c>
      <c r="J17" s="0" t="n">
        <f aca="false">'Test Cases'!O17</f>
        <v>40000</v>
      </c>
      <c r="K17" s="0" t="str">
        <f aca="false">'Test Cases'!P17</f>
        <v>LB</v>
      </c>
      <c r="L17" s="0" t="str">
        <f aca="false">'Test Cases'!Q17</f>
        <v>Test Carrier 2 Inc</v>
      </c>
      <c r="M17" s="0" t="str">
        <f aca="false">'Test Cases'!R17</f>
        <v>CAR2</v>
      </c>
      <c r="N17" s="0" t="str">
        <f aca="false">IF(ISBLANK('Test Cases'!S17),"",'Test Cases'!S17)</f>
        <v/>
      </c>
      <c r="O17" s="0" t="str">
        <f aca="false">IF(ISBLANK('Test Cases'!T17),"",'Test Cases'!T17)</f>
        <v/>
      </c>
      <c r="P17" s="0" t="str">
        <f aca="false">IF(ISBLANK('Test Cases'!U17),"",'Test Cases'!U17)</f>
        <v/>
      </c>
      <c r="Q17" s="0" t="n">
        <f aca="false">'Test Cases'!V17</f>
        <v>1</v>
      </c>
      <c r="R17" s="0" t="str">
        <f aca="false">'Test Cases'!W17</f>
        <v>PICKUP</v>
      </c>
      <c r="S17" s="0" t="str">
        <f aca="false">'Test Cases'!X17</f>
        <v>LIVE</v>
      </c>
      <c r="T17" s="0" t="str">
        <f aca="false">'Test Cases'!Y17</f>
        <v>Amazon LFT1</v>
      </c>
      <c r="U17" s="0" t="str">
        <f aca="false">'Test Cases'!Z17</f>
        <v>LFT1</v>
      </c>
      <c r="V17" s="0" t="str">
        <f aca="false">'Test Cases'!AA17</f>
        <v>1600 Creswell Lane</v>
      </c>
      <c r="W17" s="0" t="str">
        <f aca="false">IF(ISBLANK('Test Cases'!AB17),"",'Test Cases'!AB17)</f>
        <v/>
      </c>
      <c r="X17" s="0" t="str">
        <f aca="false">'Test Cases'!AC17</f>
        <v>Opelousas</v>
      </c>
      <c r="Y17" s="0" t="str">
        <f aca="false">'Test Cases'!AD17</f>
        <v>LA</v>
      </c>
      <c r="Z17" s="0" t="str">
        <f aca="false">'Test Cases'!AE17</f>
        <v>70570</v>
      </c>
      <c r="AA17" s="0" t="str">
        <f aca="false">'Test Cases'!AF17</f>
        <v>US</v>
      </c>
      <c r="AB17" s="0" t="str">
        <f aca="false">'Test Cases'!AG17</f>
        <v>APPOINTMENT</v>
      </c>
      <c r="AC17" s="0" t="str">
        <f aca="false">'Test Cases'!AH17</f>
        <v>2025-01-15T08:00:00Z</v>
      </c>
      <c r="AD17" s="0" t="str">
        <f aca="false">'Test Cases'!AI17</f>
        <v>2025-01-15T10:00:00Z</v>
      </c>
      <c r="AE17" s="0" t="str">
        <f aca="false">'Test Cases'!AJ17</f>
        <v>2025-01-15T08:00:00Z</v>
      </c>
      <c r="AF17" s="0" t="str">
        <f aca="false">'Test Cases'!AK17</f>
        <v>2025-01-15T10:00:00Z</v>
      </c>
      <c r="AG17" s="0" t="str">
        <f aca="false">'Test Cases'!AL17</f>
        <v>2025-01-15T08:00:00Z</v>
      </c>
      <c r="AH17" s="0" t="str">
        <f aca="false">'Test Cases'!AM17</f>
        <v>2025-01-15T08:30:00Z</v>
      </c>
      <c r="AI17" s="0" t="str">
        <f aca="false">IF(ISBLANK('Test Cases'!AN17),"",'Test Cases'!AN17)</f>
        <v/>
      </c>
      <c r="AJ17" s="0" t="n">
        <f aca="false">'Test Cases'!AO17</f>
        <v>2</v>
      </c>
      <c r="AK17" s="0" t="str">
        <f aca="false">'Test Cases'!AP17</f>
        <v>DELIVERY</v>
      </c>
      <c r="AL17" s="0" t="str">
        <f aca="false">'Test Cases'!AQ17</f>
        <v>LIVE</v>
      </c>
      <c r="AM17" s="0" t="str">
        <f aca="false">'Test Cases'!AR17</f>
        <v>Kansas City DC</v>
      </c>
      <c r="AN17" s="0" t="str">
        <f aca="false">'Test Cases'!AS17</f>
        <v>KC-DC</v>
      </c>
      <c r="AO17" s="0" t="str">
        <f aca="false">'Test Cases'!AT17</f>
        <v>16851 W 113th St</v>
      </c>
      <c r="AP17" s="0" t="str">
        <f aca="false">IF(ISBLANK('Test Cases'!AU17),"",'Test Cases'!AU17)</f>
        <v/>
      </c>
      <c r="AQ17" s="0" t="str">
        <f aca="false">'Test Cases'!AV17</f>
        <v>Lenexa</v>
      </c>
      <c r="AR17" s="0" t="str">
        <f aca="false">'Test Cases'!AW17</f>
        <v>KS</v>
      </c>
      <c r="AS17" s="0" t="str">
        <f aca="false">'Test Cases'!AX17</f>
        <v>66219</v>
      </c>
      <c r="AT17" s="0" t="str">
        <f aca="false">'Test Cases'!AY17</f>
        <v>US</v>
      </c>
      <c r="AU17" s="0" t="str">
        <f aca="false">'Test Cases'!AZ17</f>
        <v>APPOINTMENT</v>
      </c>
      <c r="AV17" s="0" t="str">
        <f aca="false">'Test Cases'!BA17</f>
        <v>2025-01-17T10:00:00Z</v>
      </c>
      <c r="AW17" s="0" t="str">
        <f aca="false">'Test Cases'!BB17</f>
        <v>2025-01-17T14:00:00Z</v>
      </c>
      <c r="AX17" s="0" t="str">
        <f aca="false">'Test Cases'!BC17</f>
        <v>2025-01-17T10:00:00Z</v>
      </c>
      <c r="AY17" s="0" t="str">
        <f aca="false">'Test Cases'!BD17</f>
        <v>2025-01-17T14:00:00Z</v>
      </c>
      <c r="AZ17" s="0" t="str">
        <f aca="false">'Test Cases'!BE17</f>
        <v>2025-01-17T10:00:00Z</v>
      </c>
      <c r="BA17" s="0" t="str">
        <f aca="false">'Test Cases'!BF17</f>
        <v>2025-01-17T10:30:00Z</v>
      </c>
      <c r="BB17" s="0" t="str">
        <f aca="false">IF(ISBLANK('Test Cases'!BG17),"",'Test Cases'!BG17)</f>
        <v/>
      </c>
    </row>
    <row r="18" customFormat="false" ht="15" hidden="false" customHeight="false" outlineLevel="0" collapsed="false">
      <c r="A18" s="0" t="str">
        <f aca="false">'Test Cases'!F18</f>
        <v>20251229-SHIP-017</v>
      </c>
      <c r="B18" s="0" t="str">
        <f aca="false">'Test Cases'!G18</f>
        <v>20251229-TNDR-017</v>
      </c>
      <c r="C18" s="0" t="str">
        <f aca="false">'Test Cases'!H18</f>
        <v>SHIPMENT</v>
      </c>
      <c r="D18" s="0" t="str">
        <f aca="false">'Test Cases'!I18</f>
        <v>COMPLETED</v>
      </c>
      <c r="E18" s="0" t="str">
        <f aca="false">'Test Cases'!J18</f>
        <v>SPOT</v>
      </c>
      <c r="F18" s="0" t="str">
        <f aca="false">'Test Cases'!K18</f>
        <v>TRUCKLOAD</v>
      </c>
      <c r="G18" s="0" t="str">
        <f aca="false">'Test Cases'!L18</f>
        <v>DRY_VAN</v>
      </c>
      <c r="H18" s="0" t="n">
        <f aca="false">'Test Cases'!M18</f>
        <v>500</v>
      </c>
      <c r="I18" s="0" t="str">
        <f aca="false">'Test Cases'!N18</f>
        <v>MILES</v>
      </c>
      <c r="J18" s="0" t="n">
        <f aca="false">'Test Cases'!O18</f>
        <v>40000</v>
      </c>
      <c r="K18" s="0" t="str">
        <f aca="false">'Test Cases'!P18</f>
        <v>LB</v>
      </c>
      <c r="L18" s="0" t="str">
        <f aca="false">'Test Cases'!Q18</f>
        <v>Test Carrier 1 Inc</v>
      </c>
      <c r="M18" s="0" t="str">
        <f aca="false">'Test Cases'!R18</f>
        <v>CAR1</v>
      </c>
      <c r="N18" s="0" t="str">
        <f aca="false">IF(ISBLANK('Test Cases'!S18),"",'Test Cases'!S18)</f>
        <v/>
      </c>
      <c r="O18" s="0" t="str">
        <f aca="false">IF(ISBLANK('Test Cases'!T18),"",'Test Cases'!T18)</f>
        <v/>
      </c>
      <c r="P18" s="0" t="str">
        <f aca="false">IF(ISBLANK('Test Cases'!U18),"",'Test Cases'!U18)</f>
        <v/>
      </c>
      <c r="Q18" s="0" t="n">
        <f aca="false">'Test Cases'!V18</f>
        <v>1</v>
      </c>
      <c r="R18" s="0" t="str">
        <f aca="false">'Test Cases'!W18</f>
        <v>PICKUP</v>
      </c>
      <c r="S18" s="0" t="str">
        <f aca="false">'Test Cases'!X18</f>
        <v>LIVE</v>
      </c>
      <c r="T18" s="0" t="str">
        <f aca="false">'Test Cases'!Y18</f>
        <v>Louisiana Warehouse</v>
      </c>
      <c r="U18" s="0" t="str">
        <f aca="false">'Test Cases'!Z18</f>
        <v>LA-WH</v>
      </c>
      <c r="V18" s="0" t="str">
        <f aca="false">'Test Cases'!AA18</f>
        <v>1600 Creswell Ln</v>
      </c>
      <c r="W18" s="0" t="str">
        <f aca="false">IF(ISBLANK('Test Cases'!AB18),"",'Test Cases'!AB18)</f>
        <v/>
      </c>
      <c r="X18" s="0" t="str">
        <f aca="false">'Test Cases'!AC18</f>
        <v>Opelousas</v>
      </c>
      <c r="Y18" s="0" t="str">
        <f aca="false">'Test Cases'!AD18</f>
        <v>LA</v>
      </c>
      <c r="Z18" s="0" t="str">
        <f aca="false">'Test Cases'!AE18</f>
        <v>70570</v>
      </c>
      <c r="AA18" s="0" t="str">
        <f aca="false">'Test Cases'!AF18</f>
        <v>US</v>
      </c>
      <c r="AB18" s="0" t="str">
        <f aca="false">'Test Cases'!AG18</f>
        <v>APPOINTMENT</v>
      </c>
      <c r="AC18" s="0" t="str">
        <f aca="false">'Test Cases'!AH18</f>
        <v>2025-01-15T08:00:00Z</v>
      </c>
      <c r="AD18" s="0" t="str">
        <f aca="false">'Test Cases'!AI18</f>
        <v>2025-01-15T10:00:00Z</v>
      </c>
      <c r="AE18" s="0" t="str">
        <f aca="false">'Test Cases'!AJ18</f>
        <v>2025-01-15T08:00:00Z</v>
      </c>
      <c r="AF18" s="0" t="str">
        <f aca="false">'Test Cases'!AK18</f>
        <v>2025-01-15T10:00:00Z</v>
      </c>
      <c r="AG18" s="0" t="str">
        <f aca="false">'Test Cases'!AL18</f>
        <v>2025-01-15T08:00:00Z</v>
      </c>
      <c r="AH18" s="0" t="str">
        <f aca="false">'Test Cases'!AM18</f>
        <v>2025-01-15T08:30:00Z</v>
      </c>
      <c r="AI18" s="0" t="str">
        <f aca="false">IF(ISBLANK('Test Cases'!AN18),"",'Test Cases'!AN18)</f>
        <v/>
      </c>
      <c r="AJ18" s="0" t="n">
        <f aca="false">'Test Cases'!AO18</f>
        <v>2</v>
      </c>
      <c r="AK18" s="0" t="str">
        <f aca="false">'Test Cases'!AP18</f>
        <v>DELIVERY</v>
      </c>
      <c r="AL18" s="0" t="str">
        <f aca="false">'Test Cases'!AQ18</f>
        <v>LIVE</v>
      </c>
      <c r="AM18" s="0" t="str">
        <f aca="false">'Test Cases'!AR18</f>
        <v>Louisville Hub</v>
      </c>
      <c r="AN18" s="0" t="str">
        <f aca="false">'Test Cases'!AS18</f>
        <v>LOU-HUB</v>
      </c>
      <c r="AO18" s="0" t="str">
        <f aca="false">'Test Cases'!AT18</f>
        <v>3901 Produce Rd</v>
      </c>
      <c r="AP18" s="0" t="str">
        <f aca="false">IF(ISBLANK('Test Cases'!AU18),"",'Test Cases'!AU18)</f>
        <v/>
      </c>
      <c r="AQ18" s="0" t="str">
        <f aca="false">'Test Cases'!AV18</f>
        <v>Louisville</v>
      </c>
      <c r="AR18" s="0" t="str">
        <f aca="false">'Test Cases'!AW18</f>
        <v>KY</v>
      </c>
      <c r="AS18" s="0" t="str">
        <f aca="false">'Test Cases'!AX18</f>
        <v>40213</v>
      </c>
      <c r="AT18" s="0" t="str">
        <f aca="false">'Test Cases'!AY18</f>
        <v>US</v>
      </c>
      <c r="AU18" s="0" t="str">
        <f aca="false">'Test Cases'!AZ18</f>
        <v>APPOINTMENT</v>
      </c>
      <c r="AV18" s="0" t="str">
        <f aca="false">'Test Cases'!BA18</f>
        <v>2025-01-17T10:00:00Z</v>
      </c>
      <c r="AW18" s="0" t="str">
        <f aca="false">'Test Cases'!BB18</f>
        <v>2025-01-17T14:00:00Z</v>
      </c>
      <c r="AX18" s="0" t="str">
        <f aca="false">'Test Cases'!BC18</f>
        <v>2025-01-17T10:00:00Z</v>
      </c>
      <c r="AY18" s="0" t="str">
        <f aca="false">'Test Cases'!BD18</f>
        <v>2025-01-17T14:00:00Z</v>
      </c>
      <c r="AZ18" s="0" t="str">
        <f aca="false">'Test Cases'!BE18</f>
        <v>2025-01-17T10:00:00Z</v>
      </c>
      <c r="BA18" s="0" t="str">
        <f aca="false">'Test Cases'!BF18</f>
        <v>2025-01-17T10:30:00Z</v>
      </c>
      <c r="BB18" s="0" t="str">
        <f aca="false">IF(ISBLANK('Test Cases'!BG18),"",'Test Cases'!BG18)</f>
        <v/>
      </c>
    </row>
    <row r="19" customFormat="false" ht="15" hidden="false" customHeight="false" outlineLevel="0" collapsed="false">
      <c r="A19" s="0" t="str">
        <f aca="false">'Test Cases'!F19</f>
        <v>20251229-SHIP-018</v>
      </c>
      <c r="B19" s="0" t="str">
        <f aca="false">'Test Cases'!G19</f>
        <v>20251229-TNDR-018</v>
      </c>
      <c r="C19" s="0" t="str">
        <f aca="false">'Test Cases'!H19</f>
        <v>SHIPMENT</v>
      </c>
      <c r="D19" s="0" t="str">
        <f aca="false">'Test Cases'!I19</f>
        <v>COMPLETED</v>
      </c>
      <c r="E19" s="0" t="str">
        <f aca="false">'Test Cases'!J19</f>
        <v>SPOT</v>
      </c>
      <c r="F19" s="0" t="str">
        <f aca="false">'Test Cases'!K19</f>
        <v>TRUCKLOAD</v>
      </c>
      <c r="G19" s="0" t="str">
        <f aca="false">'Test Cases'!L19</f>
        <v>DRY_VAN</v>
      </c>
      <c r="H19" s="0" t="n">
        <f aca="false">'Test Cases'!M19</f>
        <v>500</v>
      </c>
      <c r="I19" s="0" t="str">
        <f aca="false">'Test Cases'!N19</f>
        <v>MILES</v>
      </c>
      <c r="J19" s="0" t="n">
        <f aca="false">'Test Cases'!O19</f>
        <v>40000</v>
      </c>
      <c r="K19" s="0" t="str">
        <f aca="false">'Test Cases'!P19</f>
        <v>LB</v>
      </c>
      <c r="L19" s="0" t="str">
        <f aca="false">'Test Cases'!Q19</f>
        <v>Test Carrier 2 Inc</v>
      </c>
      <c r="M19" s="0" t="str">
        <f aca="false">'Test Cases'!R19</f>
        <v>CAR2</v>
      </c>
      <c r="N19" s="0" t="str">
        <f aca="false">IF(ISBLANK('Test Cases'!S19),"",'Test Cases'!S19)</f>
        <v/>
      </c>
      <c r="O19" s="0" t="str">
        <f aca="false">IF(ISBLANK('Test Cases'!T19),"",'Test Cases'!T19)</f>
        <v/>
      </c>
      <c r="P19" s="0" t="str">
        <f aca="false">IF(ISBLANK('Test Cases'!U19),"",'Test Cases'!U19)</f>
        <v/>
      </c>
      <c r="Q19" s="0" t="n">
        <f aca="false">'Test Cases'!V19</f>
        <v>1</v>
      </c>
      <c r="R19" s="0" t="str">
        <f aca="false">'Test Cases'!W19</f>
        <v>PICKUP</v>
      </c>
      <c r="S19" s="0" t="str">
        <f aca="false">'Test Cases'!X19</f>
        <v>LIVE</v>
      </c>
      <c r="T19" s="0" t="str">
        <f aca="false">'Test Cases'!Y19</f>
        <v>Target Columbus</v>
      </c>
      <c r="U19" s="0" t="str">
        <f aca="false">'Test Cases'!Z19</f>
        <v>TGT-CMH</v>
      </c>
      <c r="V19" s="0" t="str">
        <f aca="false">'Test Cases'!AA19</f>
        <v>1501 Gateway Cir</v>
      </c>
      <c r="W19" s="0" t="str">
        <f aca="false">IF(ISBLANK('Test Cases'!AB19),"",'Test Cases'!AB19)</f>
        <v/>
      </c>
      <c r="X19" s="0" t="str">
        <f aca="false">'Test Cases'!AC19</f>
        <v>Grove City</v>
      </c>
      <c r="Y19" s="0" t="str">
        <f aca="false">'Test Cases'!AD19</f>
        <v>OH</v>
      </c>
      <c r="Z19" s="0" t="str">
        <f aca="false">'Test Cases'!AE19</f>
        <v>43123</v>
      </c>
      <c r="AA19" s="0" t="str">
        <f aca="false">'Test Cases'!AF19</f>
        <v>US</v>
      </c>
      <c r="AB19" s="0" t="str">
        <f aca="false">'Test Cases'!AG19</f>
        <v>APPOINTMENT</v>
      </c>
      <c r="AC19" s="0" t="str">
        <f aca="false">'Test Cases'!AH19</f>
        <v>2025-01-15T08:00:00Z</v>
      </c>
      <c r="AD19" s="0" t="str">
        <f aca="false">'Test Cases'!AI19</f>
        <v>2025-01-15T10:00:00Z</v>
      </c>
      <c r="AE19" s="0" t="str">
        <f aca="false">'Test Cases'!AJ19</f>
        <v>2025-01-15T08:00:00Z</v>
      </c>
      <c r="AF19" s="0" t="str">
        <f aca="false">'Test Cases'!AK19</f>
        <v>2025-01-15T10:00:00Z</v>
      </c>
      <c r="AG19" s="0" t="str">
        <f aca="false">'Test Cases'!AL19</f>
        <v>2025-01-15T08:00:00Z</v>
      </c>
      <c r="AH19" s="0" t="str">
        <f aca="false">'Test Cases'!AM19</f>
        <v>2025-01-15T08:30:00Z</v>
      </c>
      <c r="AI19" s="0" t="str">
        <f aca="false">IF(ISBLANK('Test Cases'!AN19),"",'Test Cases'!AN19)</f>
        <v/>
      </c>
      <c r="AJ19" s="0" t="n">
        <f aca="false">'Test Cases'!AO19</f>
        <v>2</v>
      </c>
      <c r="AK19" s="0" t="str">
        <f aca="false">'Test Cases'!AP19</f>
        <v>DELIVERY</v>
      </c>
      <c r="AL19" s="0" t="str">
        <f aca="false">'Test Cases'!AQ19</f>
        <v>LIVE</v>
      </c>
      <c r="AM19" s="0" t="str">
        <f aca="false">'Test Cases'!AR19</f>
        <v>Reno Distribution</v>
      </c>
      <c r="AN19" s="0" t="str">
        <f aca="false">'Test Cases'!AS19</f>
        <v>RNO-DC</v>
      </c>
      <c r="AO19" s="0" t="str">
        <f aca="false">'Test Cases'!AT19</f>
        <v>1550 E Newlands Dr</v>
      </c>
      <c r="AP19" s="0" t="str">
        <f aca="false">IF(ISBLANK('Test Cases'!AU19),"",'Test Cases'!AU19)</f>
        <v/>
      </c>
      <c r="AQ19" s="0" t="str">
        <f aca="false">'Test Cases'!AV19</f>
        <v>Fernley</v>
      </c>
      <c r="AR19" s="0" t="str">
        <f aca="false">'Test Cases'!AW19</f>
        <v>NV</v>
      </c>
      <c r="AS19" s="0" t="str">
        <f aca="false">'Test Cases'!AX19</f>
        <v>89408</v>
      </c>
      <c r="AT19" s="0" t="str">
        <f aca="false">'Test Cases'!AY19</f>
        <v>US</v>
      </c>
      <c r="AU19" s="0" t="str">
        <f aca="false">'Test Cases'!AZ19</f>
        <v>APPOINTMENT</v>
      </c>
      <c r="AV19" s="0" t="str">
        <f aca="false">'Test Cases'!BA19</f>
        <v>2025-01-17T10:00:00Z</v>
      </c>
      <c r="AW19" s="0" t="str">
        <f aca="false">'Test Cases'!BB19</f>
        <v>2025-01-17T14:00:00Z</v>
      </c>
      <c r="AX19" s="0" t="str">
        <f aca="false">'Test Cases'!BC19</f>
        <v>2025-01-17T10:00:00Z</v>
      </c>
      <c r="AY19" s="0" t="str">
        <f aca="false">'Test Cases'!BD19</f>
        <v>2025-01-17T14:00:00Z</v>
      </c>
      <c r="AZ19" s="0" t="str">
        <f aca="false">'Test Cases'!BE19</f>
        <v>2025-01-17T10:00:00Z</v>
      </c>
      <c r="BA19" s="0" t="str">
        <f aca="false">'Test Cases'!BF19</f>
        <v>2025-01-17T10:30:00Z</v>
      </c>
      <c r="BB19" s="0" t="str">
        <f aca="false">IF(ISBLANK('Test Cases'!BG19),"",'Test Cases'!BG19)</f>
        <v/>
      </c>
    </row>
    <row r="20" customFormat="false" ht="15" hidden="false" customHeight="false" outlineLevel="0" collapsed="false">
      <c r="A20" s="0" t="str">
        <f aca="false">'Test Cases'!F20</f>
        <v>20251229-SHIP-019</v>
      </c>
      <c r="B20" s="0" t="str">
        <f aca="false">'Test Cases'!G20</f>
        <v>20251229-TNDR-019</v>
      </c>
      <c r="C20" s="0" t="str">
        <f aca="false">'Test Cases'!H20</f>
        <v>SHIPMENT</v>
      </c>
      <c r="D20" s="0" t="str">
        <f aca="false">'Test Cases'!I20</f>
        <v>COMPLETED</v>
      </c>
      <c r="E20" s="0" t="str">
        <f aca="false">'Test Cases'!J20</f>
        <v>SPOT</v>
      </c>
      <c r="F20" s="0" t="str">
        <f aca="false">'Test Cases'!K20</f>
        <v>TRUCKLOAD</v>
      </c>
      <c r="G20" s="0" t="str">
        <f aca="false">'Test Cases'!L20</f>
        <v>DRY_VAN</v>
      </c>
      <c r="H20" s="0" t="n">
        <f aca="false">'Test Cases'!M20</f>
        <v>500</v>
      </c>
      <c r="I20" s="0" t="str">
        <f aca="false">'Test Cases'!N20</f>
        <v>MILES</v>
      </c>
      <c r="J20" s="0" t="n">
        <f aca="false">'Test Cases'!O20</f>
        <v>40000</v>
      </c>
      <c r="K20" s="0" t="str">
        <f aca="false">'Test Cases'!P20</f>
        <v>LB</v>
      </c>
      <c r="L20" s="0" t="str">
        <f aca="false">'Test Cases'!Q20</f>
        <v>Test Carrier 1 Inc</v>
      </c>
      <c r="M20" s="0" t="str">
        <f aca="false">'Test Cases'!R20</f>
        <v>CAR1</v>
      </c>
      <c r="N20" s="0" t="str">
        <f aca="false">IF(ISBLANK('Test Cases'!S20),"",'Test Cases'!S20)</f>
        <v/>
      </c>
      <c r="O20" s="0" t="str">
        <f aca="false">IF(ISBLANK('Test Cases'!T20),"",'Test Cases'!T20)</f>
        <v/>
      </c>
      <c r="P20" s="0" t="str">
        <f aca="false">IF(ISBLANK('Test Cases'!U20),"",'Test Cases'!U20)</f>
        <v/>
      </c>
      <c r="Q20" s="0" t="n">
        <f aca="false">'Test Cases'!V20</f>
        <v>1</v>
      </c>
      <c r="R20" s="0" t="str">
        <f aca="false">'Test Cases'!W20</f>
        <v>PICKUP</v>
      </c>
      <c r="S20" s="0" t="str">
        <f aca="false">'Test Cases'!X20</f>
        <v>LIVE</v>
      </c>
      <c r="T20" s="0" t="str">
        <f aca="false">'Test Cases'!Y20</f>
        <v>Grove City Warehouse</v>
      </c>
      <c r="U20" s="0" t="str">
        <f aca="false">'Test Cases'!Z20</f>
        <v>GC-WH</v>
      </c>
      <c r="V20" s="0" t="str">
        <f aca="false">'Test Cases'!AA20</f>
        <v>1501 Gateway Circle</v>
      </c>
      <c r="W20" s="0" t="str">
        <f aca="false">IF(ISBLANK('Test Cases'!AB20),"",'Test Cases'!AB20)</f>
        <v/>
      </c>
      <c r="X20" s="0" t="str">
        <f aca="false">'Test Cases'!AC20</f>
        <v>Grove City</v>
      </c>
      <c r="Y20" s="0" t="str">
        <f aca="false">'Test Cases'!AD20</f>
        <v>OH</v>
      </c>
      <c r="Z20" s="0" t="str">
        <f aca="false">'Test Cases'!AE20</f>
        <v>43123</v>
      </c>
      <c r="AA20" s="0" t="str">
        <f aca="false">'Test Cases'!AF20</f>
        <v>US</v>
      </c>
      <c r="AB20" s="0" t="str">
        <f aca="false">'Test Cases'!AG20</f>
        <v>APPOINTMENT</v>
      </c>
      <c r="AC20" s="0" t="str">
        <f aca="false">'Test Cases'!AH20</f>
        <v>2025-01-15T08:00:00Z</v>
      </c>
      <c r="AD20" s="0" t="str">
        <f aca="false">'Test Cases'!AI20</f>
        <v>2025-01-15T10:00:00Z</v>
      </c>
      <c r="AE20" s="0" t="str">
        <f aca="false">'Test Cases'!AJ20</f>
        <v>2025-01-15T08:00:00Z</v>
      </c>
      <c r="AF20" s="0" t="str">
        <f aca="false">'Test Cases'!AK20</f>
        <v>2025-01-15T10:00:00Z</v>
      </c>
      <c r="AG20" s="0" t="str">
        <f aca="false">'Test Cases'!AL20</f>
        <v>2025-01-15T08:00:00Z</v>
      </c>
      <c r="AH20" s="0" t="str">
        <f aca="false">'Test Cases'!AM20</f>
        <v>2025-01-15T08:30:00Z</v>
      </c>
      <c r="AI20" s="0" t="str">
        <f aca="false">IF(ISBLANK('Test Cases'!AN20),"",'Test Cases'!AN20)</f>
        <v/>
      </c>
      <c r="AJ20" s="0" t="n">
        <f aca="false">'Test Cases'!AO20</f>
        <v>2</v>
      </c>
      <c r="AK20" s="0" t="str">
        <f aca="false">'Test Cases'!AP20</f>
        <v>DELIVERY</v>
      </c>
      <c r="AL20" s="0" t="str">
        <f aca="false">'Test Cases'!AQ20</f>
        <v>LIVE</v>
      </c>
      <c r="AM20" s="0" t="str">
        <f aca="false">'Test Cases'!AR20</f>
        <v>Portland Terminal</v>
      </c>
      <c r="AN20" s="0" t="str">
        <f aca="false">'Test Cases'!AS20</f>
        <v>PDX-TRM</v>
      </c>
      <c r="AO20" s="0" t="str">
        <f aca="false">'Test Cases'!AT20</f>
        <v>28910 SW Boberg Rd</v>
      </c>
      <c r="AP20" s="0" t="str">
        <f aca="false">IF(ISBLANK('Test Cases'!AU20),"",'Test Cases'!AU20)</f>
        <v/>
      </c>
      <c r="AQ20" s="0" t="str">
        <f aca="false">'Test Cases'!AV20</f>
        <v>Wilsonville</v>
      </c>
      <c r="AR20" s="0" t="str">
        <f aca="false">'Test Cases'!AW20</f>
        <v>OR</v>
      </c>
      <c r="AS20" s="0" t="str">
        <f aca="false">'Test Cases'!AX20</f>
        <v>97070</v>
      </c>
      <c r="AT20" s="0" t="str">
        <f aca="false">'Test Cases'!AY20</f>
        <v>US</v>
      </c>
      <c r="AU20" s="0" t="str">
        <f aca="false">'Test Cases'!AZ20</f>
        <v>APPOINTMENT</v>
      </c>
      <c r="AV20" s="0" t="str">
        <f aca="false">'Test Cases'!BA20</f>
        <v>2025-01-17T10:00:00Z</v>
      </c>
      <c r="AW20" s="0" t="str">
        <f aca="false">'Test Cases'!BB20</f>
        <v>2025-01-17T14:00:00Z</v>
      </c>
      <c r="AX20" s="0" t="str">
        <f aca="false">'Test Cases'!BC20</f>
        <v>2025-01-17T10:00:00Z</v>
      </c>
      <c r="AY20" s="0" t="str">
        <f aca="false">'Test Cases'!BD20</f>
        <v>2025-01-17T14:00:00Z</v>
      </c>
      <c r="AZ20" s="0" t="str">
        <f aca="false">'Test Cases'!BE20</f>
        <v>2025-01-17T10:00:00Z</v>
      </c>
      <c r="BA20" s="0" t="str">
        <f aca="false">'Test Cases'!BF20</f>
        <v>2025-01-17T10:30:00Z</v>
      </c>
      <c r="BB20" s="0" t="str">
        <f aca="false">IF(ISBLANK('Test Cases'!BG20),"",'Test Cases'!BG20)</f>
        <v/>
      </c>
    </row>
    <row r="21" customFormat="false" ht="15" hidden="false" customHeight="false" outlineLevel="0" collapsed="false">
      <c r="A21" s="0" t="str">
        <f aca="false">'Test Cases'!F21</f>
        <v>20251229-SHIP-020</v>
      </c>
      <c r="B21" s="0" t="str">
        <f aca="false">'Test Cases'!G21</f>
        <v>20251229-TNDR-020</v>
      </c>
      <c r="C21" s="0" t="str">
        <f aca="false">'Test Cases'!H21</f>
        <v>SHIPMENT</v>
      </c>
      <c r="D21" s="0" t="str">
        <f aca="false">'Test Cases'!I21</f>
        <v>COMPLETED</v>
      </c>
      <c r="E21" s="0" t="str">
        <f aca="false">'Test Cases'!J21</f>
        <v>SPOT</v>
      </c>
      <c r="F21" s="0" t="str">
        <f aca="false">'Test Cases'!K21</f>
        <v>TRUCKLOAD</v>
      </c>
      <c r="G21" s="0" t="str">
        <f aca="false">'Test Cases'!L21</f>
        <v>DRY_VAN</v>
      </c>
      <c r="H21" s="0" t="n">
        <f aca="false">'Test Cases'!M21</f>
        <v>500</v>
      </c>
      <c r="I21" s="0" t="str">
        <f aca="false">'Test Cases'!N21</f>
        <v>MILES</v>
      </c>
      <c r="J21" s="0" t="n">
        <f aca="false">'Test Cases'!O21</f>
        <v>40000</v>
      </c>
      <c r="K21" s="0" t="str">
        <f aca="false">'Test Cases'!P21</f>
        <v>LB</v>
      </c>
      <c r="L21" s="0" t="str">
        <f aca="false">'Test Cases'!Q21</f>
        <v>Test Carrier 2 Inc</v>
      </c>
      <c r="M21" s="0" t="str">
        <f aca="false">'Test Cases'!R21</f>
        <v>CAR2</v>
      </c>
      <c r="N21" s="0" t="str">
        <f aca="false">IF(ISBLANK('Test Cases'!S21),"",'Test Cases'!S21)</f>
        <v/>
      </c>
      <c r="O21" s="0" t="str">
        <f aca="false">IF(ISBLANK('Test Cases'!T21),"",'Test Cases'!T21)</f>
        <v/>
      </c>
      <c r="P21" s="0" t="str">
        <f aca="false">IF(ISBLANK('Test Cases'!U21),"",'Test Cases'!U21)</f>
        <v/>
      </c>
      <c r="Q21" s="0" t="n">
        <f aca="false">'Test Cases'!V21</f>
        <v>1</v>
      </c>
      <c r="R21" s="0" t="str">
        <f aca="false">'Test Cases'!W21</f>
        <v>PICKUP</v>
      </c>
      <c r="S21" s="0" t="str">
        <f aca="false">'Test Cases'!X21</f>
        <v>LIVE</v>
      </c>
      <c r="T21" s="0" t="str">
        <f aca="false">'Test Cases'!Y21</f>
        <v>Tracy North Facility</v>
      </c>
      <c r="U21" s="0" t="str">
        <f aca="false">'Test Cases'!Z21</f>
        <v>TNF-001</v>
      </c>
      <c r="V21" s="0" t="str">
        <f aca="false">'Test Cases'!AA21</f>
        <v>1555 North Chrisman Road</v>
      </c>
      <c r="W21" s="0" t="str">
        <f aca="false">IF(ISBLANK('Test Cases'!AB21),"",'Test Cases'!AB21)</f>
        <v/>
      </c>
      <c r="X21" s="0" t="str">
        <f aca="false">'Test Cases'!AC21</f>
        <v>Tracy</v>
      </c>
      <c r="Y21" s="0" t="str">
        <f aca="false">'Test Cases'!AD21</f>
        <v>CA</v>
      </c>
      <c r="Z21" s="0" t="str">
        <f aca="false">'Test Cases'!AE21</f>
        <v>95304</v>
      </c>
      <c r="AA21" s="0" t="str">
        <f aca="false">'Test Cases'!AF21</f>
        <v>US</v>
      </c>
      <c r="AB21" s="0" t="str">
        <f aca="false">'Test Cases'!AG21</f>
        <v>APPOINTMENT</v>
      </c>
      <c r="AC21" s="0" t="str">
        <f aca="false">'Test Cases'!AH21</f>
        <v>2025-01-15T08:00:00Z</v>
      </c>
      <c r="AD21" s="0" t="str">
        <f aca="false">'Test Cases'!AI21</f>
        <v>2025-01-15T10:00:00Z</v>
      </c>
      <c r="AE21" s="0" t="str">
        <f aca="false">'Test Cases'!AJ21</f>
        <v>2025-01-15T08:00:00Z</v>
      </c>
      <c r="AF21" s="0" t="str">
        <f aca="false">'Test Cases'!AK21</f>
        <v>2025-01-15T10:00:00Z</v>
      </c>
      <c r="AG21" s="0" t="str">
        <f aca="false">'Test Cases'!AL21</f>
        <v>2025-01-15T08:00:00Z</v>
      </c>
      <c r="AH21" s="0" t="str">
        <f aca="false">'Test Cases'!AM21</f>
        <v>2025-01-15T08:30:00Z</v>
      </c>
      <c r="AI21" s="0" t="str">
        <f aca="false">IF(ISBLANK('Test Cases'!AN21),"",'Test Cases'!AN21)</f>
        <v/>
      </c>
      <c r="AJ21" s="0" t="n">
        <f aca="false">'Test Cases'!AO21</f>
        <v>2</v>
      </c>
      <c r="AK21" s="0" t="str">
        <f aca="false">'Test Cases'!AP21</f>
        <v>DELIVERY</v>
      </c>
      <c r="AL21" s="0" t="str">
        <f aca="false">'Test Cases'!AQ21</f>
        <v>LIVE</v>
      </c>
      <c r="AM21" s="0" t="str">
        <f aca="false">'Test Cases'!AR21</f>
        <v>San Diego Hub</v>
      </c>
      <c r="AN21" s="0" t="str">
        <f aca="false">'Test Cases'!AS21</f>
        <v>SAN-HUB</v>
      </c>
      <c r="AO21" s="0" t="str">
        <f aca="false">'Test Cases'!AT21</f>
        <v>3680 Calle Fortunada</v>
      </c>
      <c r="AP21" s="0" t="str">
        <f aca="false">IF(ISBLANK('Test Cases'!AU21),"",'Test Cases'!AU21)</f>
        <v/>
      </c>
      <c r="AQ21" s="0" t="str">
        <f aca="false">'Test Cases'!AV21</f>
        <v>San Diego</v>
      </c>
      <c r="AR21" s="0" t="str">
        <f aca="false">'Test Cases'!AW21</f>
        <v>CA</v>
      </c>
      <c r="AS21" s="0" t="str">
        <f aca="false">'Test Cases'!AX21</f>
        <v>92173</v>
      </c>
      <c r="AT21" s="0" t="str">
        <f aca="false">'Test Cases'!AY21</f>
        <v>US</v>
      </c>
      <c r="AU21" s="0" t="str">
        <f aca="false">'Test Cases'!AZ21</f>
        <v>APPOINTMENT</v>
      </c>
      <c r="AV21" s="0" t="str">
        <f aca="false">'Test Cases'!BA21</f>
        <v>2025-01-17T10:00:00Z</v>
      </c>
      <c r="AW21" s="0" t="str">
        <f aca="false">'Test Cases'!BB21</f>
        <v>2025-01-17T14:00:00Z</v>
      </c>
      <c r="AX21" s="0" t="str">
        <f aca="false">'Test Cases'!BC21</f>
        <v>2025-01-17T10:00:00Z</v>
      </c>
      <c r="AY21" s="0" t="str">
        <f aca="false">'Test Cases'!BD21</f>
        <v>2025-01-17T14:00:00Z</v>
      </c>
      <c r="AZ21" s="0" t="str">
        <f aca="false">'Test Cases'!BE21</f>
        <v>2025-01-17T10:00:00Z</v>
      </c>
      <c r="BA21" s="0" t="str">
        <f aca="false">'Test Cases'!BF21</f>
        <v>2025-01-17T10:30:00Z</v>
      </c>
      <c r="BB21" s="0" t="str">
        <f aca="false">IF(ISBLANK('Test Cases'!BG21),"",'Test Cases'!BG21)</f>
        <v/>
      </c>
    </row>
    <row r="22" customFormat="false" ht="15" hidden="false" customHeight="false" outlineLevel="0" collapsed="false">
      <c r="A22" s="0" t="str">
        <f aca="false">'Test Cases'!F22</f>
        <v>20251229-SHIP-021</v>
      </c>
      <c r="B22" s="0" t="str">
        <f aca="false">'Test Cases'!G22</f>
        <v>20251229-TNDR-021</v>
      </c>
      <c r="C22" s="0" t="str">
        <f aca="false">'Test Cases'!H22</f>
        <v>SHIPMENT</v>
      </c>
      <c r="D22" s="0" t="str">
        <f aca="false">'Test Cases'!I22</f>
        <v>COMPLETED</v>
      </c>
      <c r="E22" s="0" t="str">
        <f aca="false">'Test Cases'!J22</f>
        <v>SPOT</v>
      </c>
      <c r="F22" s="0" t="str">
        <f aca="false">'Test Cases'!K22</f>
        <v>TRUCKLOAD</v>
      </c>
      <c r="G22" s="0" t="str">
        <f aca="false">'Test Cases'!L22</f>
        <v>DRY_VAN</v>
      </c>
      <c r="H22" s="0" t="n">
        <f aca="false">'Test Cases'!M22</f>
        <v>500</v>
      </c>
      <c r="I22" s="0" t="str">
        <f aca="false">'Test Cases'!N22</f>
        <v>MILES</v>
      </c>
      <c r="J22" s="0" t="n">
        <f aca="false">'Test Cases'!O22</f>
        <v>40000</v>
      </c>
      <c r="K22" s="0" t="str">
        <f aca="false">'Test Cases'!P22</f>
        <v>LB</v>
      </c>
      <c r="L22" s="0" t="str">
        <f aca="false">'Test Cases'!Q22</f>
        <v>Test Carrier 1 Inc</v>
      </c>
      <c r="M22" s="0" t="str">
        <f aca="false">'Test Cases'!R22</f>
        <v>CAR1</v>
      </c>
      <c r="N22" s="0" t="str">
        <f aca="false">IF(ISBLANK('Test Cases'!S22),"",'Test Cases'!S22)</f>
        <v/>
      </c>
      <c r="O22" s="0" t="str">
        <f aca="false">IF(ISBLANK('Test Cases'!T22),"",'Test Cases'!T22)</f>
        <v/>
      </c>
      <c r="P22" s="0" t="str">
        <f aca="false">IF(ISBLANK('Test Cases'!U22),"",'Test Cases'!U22)</f>
        <v/>
      </c>
      <c r="Q22" s="0" t="n">
        <f aca="false">'Test Cases'!V22</f>
        <v>1</v>
      </c>
      <c r="R22" s="0" t="str">
        <f aca="false">'Test Cases'!W22</f>
        <v>PICKUP</v>
      </c>
      <c r="S22" s="0" t="str">
        <f aca="false">'Test Cases'!X22</f>
        <v>LIVE</v>
      </c>
      <c r="T22" s="0" t="str">
        <f aca="false">'Test Cases'!Y22</f>
        <v>Phoenix South DC</v>
      </c>
      <c r="U22" s="0" t="str">
        <f aca="false">'Test Cases'!Z22</f>
        <v>PHX-SDC</v>
      </c>
      <c r="V22" s="0" t="str">
        <f aca="false">'Test Cases'!AA22</f>
        <v>2700 South 24th Street</v>
      </c>
      <c r="W22" s="0" t="str">
        <f aca="false">IF(ISBLANK('Test Cases'!AB22),"",'Test Cases'!AB22)</f>
        <v/>
      </c>
      <c r="X22" s="0" t="str">
        <f aca="false">'Test Cases'!AC22</f>
        <v>Phoenix</v>
      </c>
      <c r="Y22" s="0" t="str">
        <f aca="false">'Test Cases'!AD22</f>
        <v>AZ</v>
      </c>
      <c r="Z22" s="0" t="str">
        <f aca="false">'Test Cases'!AE22</f>
        <v>85034</v>
      </c>
      <c r="AA22" s="0" t="str">
        <f aca="false">'Test Cases'!AF22</f>
        <v>US</v>
      </c>
      <c r="AB22" s="0" t="str">
        <f aca="false">'Test Cases'!AG22</f>
        <v>APPOINTMENT</v>
      </c>
      <c r="AC22" s="0" t="str">
        <f aca="false">'Test Cases'!AH22</f>
        <v>2025-01-15T08:00:00Z</v>
      </c>
      <c r="AD22" s="0" t="str">
        <f aca="false">'Test Cases'!AI22</f>
        <v>2025-01-15T10:00:00Z</v>
      </c>
      <c r="AE22" s="0" t="str">
        <f aca="false">'Test Cases'!AJ22</f>
        <v>2025-01-15T08:00:00Z</v>
      </c>
      <c r="AF22" s="0" t="str">
        <f aca="false">'Test Cases'!AK22</f>
        <v>2025-01-15T10:00:00Z</v>
      </c>
      <c r="AG22" s="0" t="str">
        <f aca="false">'Test Cases'!AL22</f>
        <v>2025-01-15T08:00:00Z</v>
      </c>
      <c r="AH22" s="0" t="str">
        <f aca="false">'Test Cases'!AM22</f>
        <v>2025-01-15T08:30:00Z</v>
      </c>
      <c r="AI22" s="0" t="str">
        <f aca="false">IF(ISBLANK('Test Cases'!AN22),"",'Test Cases'!AN22)</f>
        <v/>
      </c>
      <c r="AJ22" s="0" t="n">
        <f aca="false">'Test Cases'!AO22</f>
        <v>2</v>
      </c>
      <c r="AK22" s="0" t="str">
        <f aca="false">'Test Cases'!AP22</f>
        <v>DELIVERY</v>
      </c>
      <c r="AL22" s="0" t="str">
        <f aca="false">'Test Cases'!AQ22</f>
        <v>LIVE</v>
      </c>
      <c r="AM22" s="0" t="str">
        <f aca="false">'Test Cases'!AR22</f>
        <v>Albuquerque FC</v>
      </c>
      <c r="AN22" s="0" t="str">
        <f aca="false">'Test Cases'!AS22</f>
        <v>ABQ-FC</v>
      </c>
      <c r="AO22" s="0" t="str">
        <f aca="false">'Test Cases'!AT22</f>
        <v>8100 Pan American Fwy</v>
      </c>
      <c r="AP22" s="0" t="str">
        <f aca="false">IF(ISBLANK('Test Cases'!AU22),"",'Test Cases'!AU22)</f>
        <v/>
      </c>
      <c r="AQ22" s="0" t="str">
        <f aca="false">'Test Cases'!AV22</f>
        <v>Albuquerque</v>
      </c>
      <c r="AR22" s="0" t="str">
        <f aca="false">'Test Cases'!AW22</f>
        <v>NM</v>
      </c>
      <c r="AS22" s="0" t="str">
        <f aca="false">'Test Cases'!AX22</f>
        <v>87113</v>
      </c>
      <c r="AT22" s="0" t="str">
        <f aca="false">'Test Cases'!AY22</f>
        <v>US</v>
      </c>
      <c r="AU22" s="0" t="str">
        <f aca="false">'Test Cases'!AZ22</f>
        <v>APPOINTMENT</v>
      </c>
      <c r="AV22" s="0" t="str">
        <f aca="false">'Test Cases'!BA22</f>
        <v>2025-01-17T10:00:00Z</v>
      </c>
      <c r="AW22" s="0" t="str">
        <f aca="false">'Test Cases'!BB22</f>
        <v>2025-01-17T14:00:00Z</v>
      </c>
      <c r="AX22" s="0" t="str">
        <f aca="false">'Test Cases'!BC22</f>
        <v>2025-01-17T10:00:00Z</v>
      </c>
      <c r="AY22" s="0" t="str">
        <f aca="false">'Test Cases'!BD22</f>
        <v>2025-01-17T14:00:00Z</v>
      </c>
      <c r="AZ22" s="0" t="str">
        <f aca="false">'Test Cases'!BE22</f>
        <v>2025-01-17T10:00:00Z</v>
      </c>
      <c r="BA22" s="0" t="str">
        <f aca="false">'Test Cases'!BF22</f>
        <v>2025-01-17T10:30:00Z</v>
      </c>
      <c r="BB22" s="0" t="str">
        <f aca="false">IF(ISBLANK('Test Cases'!BG22),"",'Test Cases'!BG22)</f>
        <v/>
      </c>
    </row>
    <row r="23" customFormat="false" ht="15" hidden="false" customHeight="false" outlineLevel="0" collapsed="false">
      <c r="A23" s="0" t="str">
        <f aca="false">'Test Cases'!F23</f>
        <v>20251229-SHIP-022</v>
      </c>
      <c r="B23" s="0" t="str">
        <f aca="false">'Test Cases'!G23</f>
        <v>20251229-TNDR-022</v>
      </c>
      <c r="C23" s="0" t="str">
        <f aca="false">'Test Cases'!H23</f>
        <v>SHIPMENT</v>
      </c>
      <c r="D23" s="0" t="str">
        <f aca="false">'Test Cases'!I23</f>
        <v>COMPLETED</v>
      </c>
      <c r="E23" s="0" t="str">
        <f aca="false">'Test Cases'!J23</f>
        <v>SPOT</v>
      </c>
      <c r="F23" s="0" t="str">
        <f aca="false">'Test Cases'!K23</f>
        <v>TRUCKLOAD</v>
      </c>
      <c r="G23" s="0" t="str">
        <f aca="false">'Test Cases'!L23</f>
        <v>DRY_VAN</v>
      </c>
      <c r="H23" s="0" t="n">
        <f aca="false">'Test Cases'!M23</f>
        <v>500</v>
      </c>
      <c r="I23" s="0" t="str">
        <f aca="false">'Test Cases'!N23</f>
        <v>MILES</v>
      </c>
      <c r="J23" s="0" t="n">
        <f aca="false">'Test Cases'!O23</f>
        <v>40000</v>
      </c>
      <c r="K23" s="0" t="str">
        <f aca="false">'Test Cases'!P23</f>
        <v>LB</v>
      </c>
      <c r="L23" s="0" t="str">
        <f aca="false">'Test Cases'!Q23</f>
        <v>Test Carrier 2 Inc</v>
      </c>
      <c r="M23" s="0" t="str">
        <f aca="false">'Test Cases'!R23</f>
        <v>CAR2</v>
      </c>
      <c r="N23" s="0" t="str">
        <f aca="false">IF(ISBLANK('Test Cases'!S23),"",'Test Cases'!S23)</f>
        <v/>
      </c>
      <c r="O23" s="0" t="str">
        <f aca="false">IF(ISBLANK('Test Cases'!T23),"",'Test Cases'!T23)</f>
        <v/>
      </c>
      <c r="P23" s="0" t="str">
        <f aca="false">IF(ISBLANK('Test Cases'!U23),"",'Test Cases'!U23)</f>
        <v/>
      </c>
      <c r="Q23" s="0" t="n">
        <f aca="false">'Test Cases'!V23</f>
        <v>1</v>
      </c>
      <c r="R23" s="0" t="str">
        <f aca="false">'Test Cases'!W23</f>
        <v>PICKUP</v>
      </c>
      <c r="S23" s="0" t="str">
        <f aca="false">'Test Cases'!X23</f>
        <v>LIVE</v>
      </c>
      <c r="T23" s="0" t="str">
        <f aca="false">'Test Cases'!Y23</f>
        <v>Phoenix Logistics</v>
      </c>
      <c r="U23" s="0" t="str">
        <f aca="false">'Test Cases'!Z23</f>
        <v>PHX-LOG</v>
      </c>
      <c r="V23" s="0" t="str">
        <f aca="false">'Test Cases'!AA23</f>
        <v>2700 S 24th St</v>
      </c>
      <c r="W23" s="0" t="str">
        <f aca="false">IF(ISBLANK('Test Cases'!AB23),"",'Test Cases'!AB23)</f>
        <v/>
      </c>
      <c r="X23" s="0" t="str">
        <f aca="false">'Test Cases'!AC23</f>
        <v>Phoenix</v>
      </c>
      <c r="Y23" s="0" t="str">
        <f aca="false">'Test Cases'!AD23</f>
        <v>AZ</v>
      </c>
      <c r="Z23" s="0" t="str">
        <f aca="false">'Test Cases'!AE23</f>
        <v>85034</v>
      </c>
      <c r="AA23" s="0" t="str">
        <f aca="false">'Test Cases'!AF23</f>
        <v>US</v>
      </c>
      <c r="AB23" s="0" t="str">
        <f aca="false">'Test Cases'!AG23</f>
        <v>APPOINTMENT</v>
      </c>
      <c r="AC23" s="0" t="str">
        <f aca="false">'Test Cases'!AH23</f>
        <v>2025-01-15T08:00:00Z</v>
      </c>
      <c r="AD23" s="0" t="str">
        <f aca="false">'Test Cases'!AI23</f>
        <v>2025-01-15T10:00:00Z</v>
      </c>
      <c r="AE23" s="0" t="str">
        <f aca="false">'Test Cases'!AJ23</f>
        <v>2025-01-15T08:00:00Z</v>
      </c>
      <c r="AF23" s="0" t="str">
        <f aca="false">'Test Cases'!AK23</f>
        <v>2025-01-15T10:00:00Z</v>
      </c>
      <c r="AG23" s="0" t="str">
        <f aca="false">'Test Cases'!AL23</f>
        <v>2025-01-15T08:00:00Z</v>
      </c>
      <c r="AH23" s="0" t="str">
        <f aca="false">'Test Cases'!AM23</f>
        <v>2025-01-15T08:30:00Z</v>
      </c>
      <c r="AI23" s="0" t="str">
        <f aca="false">IF(ISBLANK('Test Cases'!AN23),"",'Test Cases'!AN23)</f>
        <v/>
      </c>
      <c r="AJ23" s="0" t="n">
        <f aca="false">'Test Cases'!AO23</f>
        <v>2</v>
      </c>
      <c r="AK23" s="0" t="str">
        <f aca="false">'Test Cases'!AP23</f>
        <v>DELIVERY</v>
      </c>
      <c r="AL23" s="0" t="str">
        <f aca="false">'Test Cases'!AQ23</f>
        <v>LIVE</v>
      </c>
      <c r="AM23" s="0" t="str">
        <f aca="false">'Test Cases'!AR23</f>
        <v>Tulsa Warehouse</v>
      </c>
      <c r="AN23" s="0" t="str">
        <f aca="false">'Test Cases'!AS23</f>
        <v>TUL-WH</v>
      </c>
      <c r="AO23" s="0" t="str">
        <f aca="false">'Test Cases'!AT23</f>
        <v>7451 S 73rd E Ave</v>
      </c>
      <c r="AP23" s="0" t="str">
        <f aca="false">IF(ISBLANK('Test Cases'!AU23),"",'Test Cases'!AU23)</f>
        <v/>
      </c>
      <c r="AQ23" s="0" t="str">
        <f aca="false">'Test Cases'!AV23</f>
        <v>Tulsa</v>
      </c>
      <c r="AR23" s="0" t="str">
        <f aca="false">'Test Cases'!AW23</f>
        <v>OK</v>
      </c>
      <c r="AS23" s="0" t="str">
        <f aca="false">'Test Cases'!AX23</f>
        <v>74133</v>
      </c>
      <c r="AT23" s="0" t="str">
        <f aca="false">'Test Cases'!AY23</f>
        <v>US</v>
      </c>
      <c r="AU23" s="0" t="str">
        <f aca="false">'Test Cases'!AZ23</f>
        <v>APPOINTMENT</v>
      </c>
      <c r="AV23" s="0" t="str">
        <f aca="false">'Test Cases'!BA23</f>
        <v>2025-01-17T10:00:00Z</v>
      </c>
      <c r="AW23" s="0" t="str">
        <f aca="false">'Test Cases'!BB23</f>
        <v>2025-01-17T14:00:00Z</v>
      </c>
      <c r="AX23" s="0" t="str">
        <f aca="false">'Test Cases'!BC23</f>
        <v>2025-01-17T10:00:00Z</v>
      </c>
      <c r="AY23" s="0" t="str">
        <f aca="false">'Test Cases'!BD23</f>
        <v>2025-01-17T14:00:00Z</v>
      </c>
      <c r="AZ23" s="0" t="str">
        <f aca="false">'Test Cases'!BE23</f>
        <v>2025-01-17T10:00:00Z</v>
      </c>
      <c r="BA23" s="0" t="str">
        <f aca="false">'Test Cases'!BF23</f>
        <v>2025-01-17T10:30:00Z</v>
      </c>
      <c r="BB23" s="0" t="str">
        <f aca="false">IF(ISBLANK('Test Cases'!BG23),"",'Test Cases'!BG23)</f>
        <v/>
      </c>
    </row>
    <row r="24" customFormat="false" ht="15" hidden="false" customHeight="false" outlineLevel="0" collapsed="false">
      <c r="A24" s="0" t="str">
        <f aca="false">'Test Cases'!F24</f>
        <v>20251229-SHIP-023</v>
      </c>
      <c r="B24" s="0" t="str">
        <f aca="false">'Test Cases'!G24</f>
        <v>20251229-TNDR-023</v>
      </c>
      <c r="C24" s="0" t="str">
        <f aca="false">'Test Cases'!H24</f>
        <v>SHIPMENT</v>
      </c>
      <c r="D24" s="0" t="str">
        <f aca="false">'Test Cases'!I24</f>
        <v>COMPLETED</v>
      </c>
      <c r="E24" s="0" t="str">
        <f aca="false">'Test Cases'!J24</f>
        <v>SPOT</v>
      </c>
      <c r="F24" s="0" t="str">
        <f aca="false">'Test Cases'!K24</f>
        <v>TRUCKLOAD</v>
      </c>
      <c r="G24" s="0" t="str">
        <f aca="false">'Test Cases'!L24</f>
        <v>DRY_VAN</v>
      </c>
      <c r="H24" s="0" t="n">
        <f aca="false">'Test Cases'!M24</f>
        <v>500</v>
      </c>
      <c r="I24" s="0" t="str">
        <f aca="false">'Test Cases'!N24</f>
        <v>MILES</v>
      </c>
      <c r="J24" s="0" t="n">
        <f aca="false">'Test Cases'!O24</f>
        <v>40000</v>
      </c>
      <c r="K24" s="0" t="str">
        <f aca="false">'Test Cases'!P24</f>
        <v>LB</v>
      </c>
      <c r="L24" s="0" t="str">
        <f aca="false">'Test Cases'!Q24</f>
        <v>Test Carrier 1 Inc</v>
      </c>
      <c r="M24" s="0" t="str">
        <f aca="false">'Test Cases'!R24</f>
        <v>CAR1</v>
      </c>
      <c r="N24" s="0" t="str">
        <f aca="false">IF(ISBLANK('Test Cases'!S24),"",'Test Cases'!S24)</f>
        <v/>
      </c>
      <c r="O24" s="0" t="str">
        <f aca="false">IF(ISBLANK('Test Cases'!T24),"",'Test Cases'!T24)</f>
        <v/>
      </c>
      <c r="P24" s="0" t="str">
        <f aca="false">IF(ISBLANK('Test Cases'!U24),"",'Test Cases'!U24)</f>
        <v/>
      </c>
      <c r="Q24" s="0" t="n">
        <f aca="false">'Test Cases'!V24</f>
        <v>1</v>
      </c>
      <c r="R24" s="0" t="str">
        <f aca="false">'Test Cases'!W24</f>
        <v>PICKUP</v>
      </c>
      <c r="S24" s="0" t="str">
        <f aca="false">'Test Cases'!X24</f>
        <v>LIVE</v>
      </c>
      <c r="T24" s="0" t="str">
        <f aca="false">'Test Cases'!Y24</f>
        <v>Phoenix West Hub</v>
      </c>
      <c r="U24" s="0" t="str">
        <f aca="false">'Test Cases'!Z24</f>
        <v>PHX-WHB</v>
      </c>
      <c r="V24" s="0" t="str">
        <f aca="false">'Test Cases'!AA24</f>
        <v>6835 West Buckeye Road</v>
      </c>
      <c r="W24" s="0" t="str">
        <f aca="false">IF(ISBLANK('Test Cases'!AB24),"",'Test Cases'!AB24)</f>
        <v/>
      </c>
      <c r="X24" s="0" t="str">
        <f aca="false">'Test Cases'!AC24</f>
        <v>Phoenix</v>
      </c>
      <c r="Y24" s="0" t="str">
        <f aca="false">'Test Cases'!AD24</f>
        <v>AZ</v>
      </c>
      <c r="Z24" s="0" t="str">
        <f aca="false">'Test Cases'!AE24</f>
        <v>85043</v>
      </c>
      <c r="AA24" s="0" t="str">
        <f aca="false">'Test Cases'!AF24</f>
        <v>US</v>
      </c>
      <c r="AB24" s="0" t="str">
        <f aca="false">'Test Cases'!AG24</f>
        <v>APPOINTMENT</v>
      </c>
      <c r="AC24" s="0" t="str">
        <f aca="false">'Test Cases'!AH24</f>
        <v>2025-01-15T08:00:00Z</v>
      </c>
      <c r="AD24" s="0" t="str">
        <f aca="false">'Test Cases'!AI24</f>
        <v>2025-01-15T10:00:00Z</v>
      </c>
      <c r="AE24" s="0" t="str">
        <f aca="false">'Test Cases'!AJ24</f>
        <v>2025-01-15T08:00:00Z</v>
      </c>
      <c r="AF24" s="0" t="str">
        <f aca="false">'Test Cases'!AK24</f>
        <v>2025-01-15T10:00:00Z</v>
      </c>
      <c r="AG24" s="0" t="str">
        <f aca="false">'Test Cases'!AL24</f>
        <v>2025-01-15T08:00:00Z</v>
      </c>
      <c r="AH24" s="0" t="str">
        <f aca="false">'Test Cases'!AM24</f>
        <v>2025-01-15T08:30:00Z</v>
      </c>
      <c r="AI24" s="0" t="str">
        <f aca="false">IF(ISBLANK('Test Cases'!AN24),"",'Test Cases'!AN24)</f>
        <v/>
      </c>
      <c r="AJ24" s="0" t="n">
        <f aca="false">'Test Cases'!AO24</f>
        <v>2</v>
      </c>
      <c r="AK24" s="0" t="str">
        <f aca="false">'Test Cases'!AP24</f>
        <v>DELIVERY</v>
      </c>
      <c r="AL24" s="0" t="str">
        <f aca="false">'Test Cases'!AQ24</f>
        <v>LIVE</v>
      </c>
      <c r="AM24" s="0" t="str">
        <f aca="false">'Test Cases'!AR24</f>
        <v>Las Vegas DC</v>
      </c>
      <c r="AN24" s="0" t="str">
        <f aca="false">'Test Cases'!AS24</f>
        <v>LAS-DC</v>
      </c>
      <c r="AO24" s="0" t="str">
        <f aca="false">'Test Cases'!AT24</f>
        <v>6040 Tropical Pkwy</v>
      </c>
      <c r="AP24" s="0" t="str">
        <f aca="false">IF(ISBLANK('Test Cases'!AU24),"",'Test Cases'!AU24)</f>
        <v/>
      </c>
      <c r="AQ24" s="0" t="str">
        <f aca="false">'Test Cases'!AV24</f>
        <v>North Las Vegas</v>
      </c>
      <c r="AR24" s="0" t="str">
        <f aca="false">'Test Cases'!AW24</f>
        <v>NV</v>
      </c>
      <c r="AS24" s="0" t="str">
        <f aca="false">'Test Cases'!AX24</f>
        <v>89031</v>
      </c>
      <c r="AT24" s="0" t="str">
        <f aca="false">'Test Cases'!AY24</f>
        <v>US</v>
      </c>
      <c r="AU24" s="0" t="str">
        <f aca="false">'Test Cases'!AZ24</f>
        <v>APPOINTMENT</v>
      </c>
      <c r="AV24" s="0" t="str">
        <f aca="false">'Test Cases'!BA24</f>
        <v>2025-01-17T10:00:00Z</v>
      </c>
      <c r="AW24" s="0" t="str">
        <f aca="false">'Test Cases'!BB24</f>
        <v>2025-01-17T14:00:00Z</v>
      </c>
      <c r="AX24" s="0" t="str">
        <f aca="false">'Test Cases'!BC24</f>
        <v>2025-01-17T10:00:00Z</v>
      </c>
      <c r="AY24" s="0" t="str">
        <f aca="false">'Test Cases'!BD24</f>
        <v>2025-01-17T14:00:00Z</v>
      </c>
      <c r="AZ24" s="0" t="str">
        <f aca="false">'Test Cases'!BE24</f>
        <v>2025-01-17T10:00:00Z</v>
      </c>
      <c r="BA24" s="0" t="str">
        <f aca="false">'Test Cases'!BF24</f>
        <v>2025-01-17T10:30:00Z</v>
      </c>
      <c r="BB24" s="0" t="str">
        <f aca="false">IF(ISBLANK('Test Cases'!BG24),"",'Test Cases'!BG24)</f>
        <v/>
      </c>
    </row>
    <row r="25" customFormat="false" ht="15" hidden="false" customHeight="false" outlineLevel="0" collapsed="false">
      <c r="A25" s="0" t="str">
        <f aca="false">'Test Cases'!F25</f>
        <v>20251229-SHIP-024</v>
      </c>
      <c r="B25" s="0" t="str">
        <f aca="false">'Test Cases'!G25</f>
        <v>20251229-TNDR-024</v>
      </c>
      <c r="C25" s="0" t="str">
        <f aca="false">'Test Cases'!H25</f>
        <v>SHIPMENT</v>
      </c>
      <c r="D25" s="0" t="str">
        <f aca="false">'Test Cases'!I25</f>
        <v>COMPLETED</v>
      </c>
      <c r="E25" s="0" t="str">
        <f aca="false">'Test Cases'!J25</f>
        <v>SPOT</v>
      </c>
      <c r="F25" s="0" t="str">
        <f aca="false">'Test Cases'!K25</f>
        <v>TRUCKLOAD</v>
      </c>
      <c r="G25" s="0" t="str">
        <f aca="false">'Test Cases'!L25</f>
        <v>DRY_VAN</v>
      </c>
      <c r="H25" s="0" t="n">
        <f aca="false">'Test Cases'!M25</f>
        <v>500</v>
      </c>
      <c r="I25" s="0" t="str">
        <f aca="false">'Test Cases'!N25</f>
        <v>MILES</v>
      </c>
      <c r="J25" s="0" t="n">
        <f aca="false">'Test Cases'!O25</f>
        <v>40000</v>
      </c>
      <c r="K25" s="0" t="str">
        <f aca="false">'Test Cases'!P25</f>
        <v>LB</v>
      </c>
      <c r="L25" s="0" t="str">
        <f aca="false">'Test Cases'!Q25</f>
        <v>Test Carrier 2 Inc</v>
      </c>
      <c r="M25" s="0" t="str">
        <f aca="false">'Test Cases'!R25</f>
        <v>CAR2</v>
      </c>
      <c r="N25" s="0" t="str">
        <f aca="false">IF(ISBLANK('Test Cases'!S25),"",'Test Cases'!S25)</f>
        <v/>
      </c>
      <c r="O25" s="0" t="str">
        <f aca="false">IF(ISBLANK('Test Cases'!T25),"",'Test Cases'!T25)</f>
        <v/>
      </c>
      <c r="P25" s="0" t="str">
        <f aca="false">IF(ISBLANK('Test Cases'!U25),"",'Test Cases'!U25)</f>
        <v/>
      </c>
      <c r="Q25" s="0" t="n">
        <f aca="false">'Test Cases'!V25</f>
        <v>1</v>
      </c>
      <c r="R25" s="0" t="str">
        <f aca="false">'Test Cases'!W25</f>
        <v>PICKUP</v>
      </c>
      <c r="S25" s="0" t="str">
        <f aca="false">'Test Cases'!X25</f>
        <v>LIVE</v>
      </c>
      <c r="T25" s="0" t="str">
        <f aca="false">'Test Cases'!Y25</f>
        <v>Amazon PHX8</v>
      </c>
      <c r="U25" s="0" t="str">
        <f aca="false">'Test Cases'!Z25</f>
        <v>PHX8</v>
      </c>
      <c r="V25" s="0" t="str">
        <f aca="false">'Test Cases'!AA25</f>
        <v>6835 W Buckeye Rd</v>
      </c>
      <c r="W25" s="0" t="str">
        <f aca="false">IF(ISBLANK('Test Cases'!AB25),"",'Test Cases'!AB25)</f>
        <v/>
      </c>
      <c r="X25" s="0" t="str">
        <f aca="false">'Test Cases'!AC25</f>
        <v>Phoenix</v>
      </c>
      <c r="Y25" s="0" t="str">
        <f aca="false">'Test Cases'!AD25</f>
        <v>AZ</v>
      </c>
      <c r="Z25" s="0" t="str">
        <f aca="false">'Test Cases'!AE25</f>
        <v>85043</v>
      </c>
      <c r="AA25" s="0" t="str">
        <f aca="false">'Test Cases'!AF25</f>
        <v>US</v>
      </c>
      <c r="AB25" s="0" t="str">
        <f aca="false">'Test Cases'!AG25</f>
        <v>APPOINTMENT</v>
      </c>
      <c r="AC25" s="0" t="str">
        <f aca="false">'Test Cases'!AH25</f>
        <v>2025-01-15T08:00:00Z</v>
      </c>
      <c r="AD25" s="0" t="str">
        <f aca="false">'Test Cases'!AI25</f>
        <v>2025-01-15T10:00:00Z</v>
      </c>
      <c r="AE25" s="0" t="str">
        <f aca="false">'Test Cases'!AJ25</f>
        <v>2025-01-15T08:00:00Z</v>
      </c>
      <c r="AF25" s="0" t="str">
        <f aca="false">'Test Cases'!AK25</f>
        <v>2025-01-15T10:00:00Z</v>
      </c>
      <c r="AG25" s="0" t="str">
        <f aca="false">'Test Cases'!AL25</f>
        <v>2025-01-15T08:00:00Z</v>
      </c>
      <c r="AH25" s="0" t="str">
        <f aca="false">'Test Cases'!AM25</f>
        <v>2025-01-15T08:30:00Z</v>
      </c>
      <c r="AI25" s="0" t="str">
        <f aca="false">IF(ISBLANK('Test Cases'!AN25),"",'Test Cases'!AN25)</f>
        <v/>
      </c>
      <c r="AJ25" s="0" t="n">
        <f aca="false">'Test Cases'!AO25</f>
        <v>2</v>
      </c>
      <c r="AK25" s="0" t="str">
        <f aca="false">'Test Cases'!AP25</f>
        <v>DELIVERY</v>
      </c>
      <c r="AL25" s="0" t="str">
        <f aca="false">'Test Cases'!AQ25</f>
        <v>LIVE</v>
      </c>
      <c r="AM25" s="0" t="str">
        <f aca="false">'Test Cases'!AR25</f>
        <v>Oklahoma City FC</v>
      </c>
      <c r="AN25" s="0" t="str">
        <f aca="false">'Test Cases'!AS25</f>
        <v>OKC-FC</v>
      </c>
      <c r="AO25" s="0" t="str">
        <f aca="false">'Test Cases'!AT25</f>
        <v>7450 W Reno Ave</v>
      </c>
      <c r="AP25" s="0" t="str">
        <f aca="false">IF(ISBLANK('Test Cases'!AU25),"",'Test Cases'!AU25)</f>
        <v/>
      </c>
      <c r="AQ25" s="0" t="str">
        <f aca="false">'Test Cases'!AV25</f>
        <v>Oklahoma City</v>
      </c>
      <c r="AR25" s="0" t="str">
        <f aca="false">'Test Cases'!AW25</f>
        <v>OK</v>
      </c>
      <c r="AS25" s="0" t="str">
        <f aca="false">'Test Cases'!AX25</f>
        <v>73127</v>
      </c>
      <c r="AT25" s="0" t="str">
        <f aca="false">'Test Cases'!AY25</f>
        <v>US</v>
      </c>
      <c r="AU25" s="0" t="str">
        <f aca="false">'Test Cases'!AZ25</f>
        <v>APPOINTMENT</v>
      </c>
      <c r="AV25" s="0" t="str">
        <f aca="false">'Test Cases'!BA25</f>
        <v>2025-01-17T10:00:00Z</v>
      </c>
      <c r="AW25" s="0" t="str">
        <f aca="false">'Test Cases'!BB25</f>
        <v>2025-01-17T14:00:00Z</v>
      </c>
      <c r="AX25" s="0" t="str">
        <f aca="false">'Test Cases'!BC25</f>
        <v>2025-01-17T10:00:00Z</v>
      </c>
      <c r="AY25" s="0" t="str">
        <f aca="false">'Test Cases'!BD25</f>
        <v>2025-01-17T14:00:00Z</v>
      </c>
      <c r="AZ25" s="0" t="str">
        <f aca="false">'Test Cases'!BE25</f>
        <v>2025-01-17T10:00:00Z</v>
      </c>
      <c r="BA25" s="0" t="str">
        <f aca="false">'Test Cases'!BF25</f>
        <v>2025-01-17T10:30:00Z</v>
      </c>
      <c r="BB25" s="0" t="str">
        <f aca="false">IF(ISBLANK('Test Cases'!BG25),"",'Test Cases'!BG25)</f>
        <v/>
      </c>
    </row>
    <row r="26" customFormat="false" ht="15" hidden="false" customHeight="false" outlineLevel="0" collapsed="false">
      <c r="A26" s="0" t="str">
        <f aca="false">'Test Cases'!F26</f>
        <v>20251229-SHIP-025</v>
      </c>
      <c r="B26" s="0" t="str">
        <f aca="false">'Test Cases'!G26</f>
        <v>20251229-TNDR-025</v>
      </c>
      <c r="C26" s="0" t="str">
        <f aca="false">'Test Cases'!H26</f>
        <v>SHIPMENT</v>
      </c>
      <c r="D26" s="0" t="str">
        <f aca="false">'Test Cases'!I26</f>
        <v>COMPLETED</v>
      </c>
      <c r="E26" s="0" t="str">
        <f aca="false">'Test Cases'!J26</f>
        <v>SPOT</v>
      </c>
      <c r="F26" s="0" t="str">
        <f aca="false">'Test Cases'!K26</f>
        <v>TRUCKLOAD</v>
      </c>
      <c r="G26" s="0" t="str">
        <f aca="false">'Test Cases'!L26</f>
        <v>DRY_VAN</v>
      </c>
      <c r="H26" s="0" t="n">
        <f aca="false">'Test Cases'!M26</f>
        <v>500</v>
      </c>
      <c r="I26" s="0" t="str">
        <f aca="false">'Test Cases'!N26</f>
        <v>MILES</v>
      </c>
      <c r="J26" s="0" t="n">
        <f aca="false">'Test Cases'!O26</f>
        <v>40000</v>
      </c>
      <c r="K26" s="0" t="str">
        <f aca="false">'Test Cases'!P26</f>
        <v>LB</v>
      </c>
      <c r="L26" s="0" t="str">
        <f aca="false">'Test Cases'!Q26</f>
        <v>Test Carrier 1 Inc</v>
      </c>
      <c r="M26" s="0" t="str">
        <f aca="false">'Test Cases'!R26</f>
        <v>CAR1</v>
      </c>
      <c r="N26" s="0" t="str">
        <f aca="false">IF(ISBLANK('Test Cases'!S26),"",'Test Cases'!S26)</f>
        <v/>
      </c>
      <c r="O26" s="0" t="str">
        <f aca="false">IF(ISBLANK('Test Cases'!T26),"",'Test Cases'!T26)</f>
        <v/>
      </c>
      <c r="P26" s="0" t="str">
        <f aca="false">IF(ISBLANK('Test Cases'!U26),"",'Test Cases'!U26)</f>
        <v/>
      </c>
      <c r="Q26" s="0" t="n">
        <f aca="false">'Test Cases'!V26</f>
        <v>1</v>
      </c>
      <c r="R26" s="0" t="str">
        <f aca="false">'Test Cases'!W26</f>
        <v>PICKUP</v>
      </c>
      <c r="S26" s="0" t="str">
        <f aca="false">'Test Cases'!X26</f>
        <v>LIVE</v>
      </c>
      <c r="T26" s="0" t="str">
        <f aca="false">'Test Cases'!Y26</f>
        <v>Bellevue Office</v>
      </c>
      <c r="U26" s="0" t="str">
        <f aca="false">'Test Cases'!Z26</f>
        <v>BEL-OF</v>
      </c>
      <c r="V26" s="0" t="str">
        <f aca="false">'Test Cases'!AA26</f>
        <v>1227 124th Ave NE Suite A200</v>
      </c>
      <c r="W26" s="0" t="str">
        <f aca="false">IF(ISBLANK('Test Cases'!AB26),"",'Test Cases'!AB26)</f>
        <v/>
      </c>
      <c r="X26" s="0" t="str">
        <f aca="false">'Test Cases'!AC26</f>
        <v>Bellevue</v>
      </c>
      <c r="Y26" s="0" t="str">
        <f aca="false">'Test Cases'!AD26</f>
        <v>WA</v>
      </c>
      <c r="Z26" s="0" t="str">
        <f aca="false">'Test Cases'!AE26</f>
        <v>98005</v>
      </c>
      <c r="AA26" s="0" t="str">
        <f aca="false">'Test Cases'!AF26</f>
        <v>US</v>
      </c>
      <c r="AB26" s="0" t="str">
        <f aca="false">'Test Cases'!AG26</f>
        <v>APPOINTMENT</v>
      </c>
      <c r="AC26" s="0" t="str">
        <f aca="false">'Test Cases'!AH26</f>
        <v>2025-01-15T08:00:00Z</v>
      </c>
      <c r="AD26" s="0" t="str">
        <f aca="false">'Test Cases'!AI26</f>
        <v>2025-01-15T10:00:00Z</v>
      </c>
      <c r="AE26" s="0" t="str">
        <f aca="false">'Test Cases'!AJ26</f>
        <v>2025-01-15T08:00:00Z</v>
      </c>
      <c r="AF26" s="0" t="str">
        <f aca="false">'Test Cases'!AK26</f>
        <v>2025-01-15T10:00:00Z</v>
      </c>
      <c r="AG26" s="0" t="str">
        <f aca="false">'Test Cases'!AL26</f>
        <v>2025-01-15T08:00:00Z</v>
      </c>
      <c r="AH26" s="0" t="str">
        <f aca="false">'Test Cases'!AM26</f>
        <v>2025-01-15T08:30:00Z</v>
      </c>
      <c r="AI26" s="0" t="str">
        <f aca="false">IF(ISBLANK('Test Cases'!AN26),"",'Test Cases'!AN26)</f>
        <v/>
      </c>
      <c r="AJ26" s="0" t="n">
        <f aca="false">'Test Cases'!AO26</f>
        <v>2</v>
      </c>
      <c r="AK26" s="0" t="str">
        <f aca="false">'Test Cases'!AP26</f>
        <v>DELIVERY</v>
      </c>
      <c r="AL26" s="0" t="str">
        <f aca="false">'Test Cases'!AQ26</f>
        <v>LIVE</v>
      </c>
      <c r="AM26" s="0" t="str">
        <f aca="false">'Test Cases'!AR26</f>
        <v>Spokane DC</v>
      </c>
      <c r="AN26" s="0" t="str">
        <f aca="false">'Test Cases'!AS26</f>
        <v>GEG-DC</v>
      </c>
      <c r="AO26" s="0" t="str">
        <f aca="false">'Test Cases'!AT26</f>
        <v>10010 W Geiger Blvd</v>
      </c>
      <c r="AP26" s="0" t="str">
        <f aca="false">IF(ISBLANK('Test Cases'!AU26),"",'Test Cases'!AU26)</f>
        <v/>
      </c>
      <c r="AQ26" s="0" t="str">
        <f aca="false">'Test Cases'!AV26</f>
        <v>Spokane</v>
      </c>
      <c r="AR26" s="0" t="str">
        <f aca="false">'Test Cases'!AW26</f>
        <v>WA</v>
      </c>
      <c r="AS26" s="0" t="str">
        <f aca="false">'Test Cases'!AX26</f>
        <v>99224</v>
      </c>
      <c r="AT26" s="0" t="str">
        <f aca="false">'Test Cases'!AY26</f>
        <v>US</v>
      </c>
      <c r="AU26" s="0" t="str">
        <f aca="false">'Test Cases'!AZ26</f>
        <v>APPOINTMENT</v>
      </c>
      <c r="AV26" s="0" t="str">
        <f aca="false">'Test Cases'!BA26</f>
        <v>2025-01-17T10:00:00Z</v>
      </c>
      <c r="AW26" s="0" t="str">
        <f aca="false">'Test Cases'!BB26</f>
        <v>2025-01-17T14:00:00Z</v>
      </c>
      <c r="AX26" s="0" t="str">
        <f aca="false">'Test Cases'!BC26</f>
        <v>2025-01-17T10:00:00Z</v>
      </c>
      <c r="AY26" s="0" t="str">
        <f aca="false">'Test Cases'!BD26</f>
        <v>2025-01-17T14:00:00Z</v>
      </c>
      <c r="AZ26" s="0" t="str">
        <f aca="false">'Test Cases'!BE26</f>
        <v>2025-01-17T10:00:00Z</v>
      </c>
      <c r="BA26" s="0" t="str">
        <f aca="false">'Test Cases'!BF26</f>
        <v>2025-01-17T10:30:00Z</v>
      </c>
      <c r="BB26" s="0" t="str">
        <f aca="false">IF(ISBLANK('Test Cases'!BG26),"",'Test Cases'!BG26)</f>
        <v/>
      </c>
    </row>
    <row r="27" customFormat="false" ht="15" hidden="false" customHeight="false" outlineLevel="0" collapsed="false">
      <c r="A27" s="0" t="str">
        <f aca="false">'Test Cases'!F27</f>
        <v>20251229-SHIP-026</v>
      </c>
      <c r="B27" s="0" t="str">
        <f aca="false">'Test Cases'!G27</f>
        <v>20251229-TNDR-026</v>
      </c>
      <c r="C27" s="0" t="str">
        <f aca="false">'Test Cases'!H27</f>
        <v>SHIPMENT</v>
      </c>
      <c r="D27" s="0" t="str">
        <f aca="false">'Test Cases'!I27</f>
        <v>COMPLETED</v>
      </c>
      <c r="E27" s="0" t="str">
        <f aca="false">'Test Cases'!J27</f>
        <v>SPOT</v>
      </c>
      <c r="F27" s="0" t="str">
        <f aca="false">'Test Cases'!K27</f>
        <v>TRUCKLOAD</v>
      </c>
      <c r="G27" s="0" t="str">
        <f aca="false">'Test Cases'!L27</f>
        <v>DRY_VAN</v>
      </c>
      <c r="H27" s="0" t="n">
        <f aca="false">'Test Cases'!M27</f>
        <v>500</v>
      </c>
      <c r="I27" s="0" t="str">
        <f aca="false">'Test Cases'!N27</f>
        <v>MILES</v>
      </c>
      <c r="J27" s="0" t="n">
        <f aca="false">'Test Cases'!O27</f>
        <v>40000</v>
      </c>
      <c r="K27" s="0" t="str">
        <f aca="false">'Test Cases'!P27</f>
        <v>LB</v>
      </c>
      <c r="L27" s="0" t="str">
        <f aca="false">'Test Cases'!Q27</f>
        <v>Test Carrier 2 Inc</v>
      </c>
      <c r="M27" s="0" t="str">
        <f aca="false">'Test Cases'!R27</f>
        <v>CAR2</v>
      </c>
      <c r="N27" s="0" t="str">
        <f aca="false">IF(ISBLANK('Test Cases'!S27),"",'Test Cases'!S27)</f>
        <v/>
      </c>
      <c r="O27" s="0" t="str">
        <f aca="false">IF(ISBLANK('Test Cases'!T27),"",'Test Cases'!T27)</f>
        <v/>
      </c>
      <c r="P27" s="0" t="str">
        <f aca="false">IF(ISBLANK('Test Cases'!U27),"",'Test Cases'!U27)</f>
        <v/>
      </c>
      <c r="Q27" s="0" t="n">
        <f aca="false">'Test Cases'!V27</f>
        <v>1</v>
      </c>
      <c r="R27" s="0" t="str">
        <f aca="false">'Test Cases'!W27</f>
        <v>PICKUP</v>
      </c>
      <c r="S27" s="0" t="str">
        <f aca="false">'Test Cases'!X27</f>
        <v>LIVE</v>
      </c>
      <c r="T27" s="0" t="str">
        <f aca="false">'Test Cases'!Y27</f>
        <v>Bellevue Distribution</v>
      </c>
      <c r="U27" s="0" t="str">
        <f aca="false">'Test Cases'!Z27</f>
        <v>BEL-DIST</v>
      </c>
      <c r="V27" s="0" t="str">
        <f aca="false">'Test Cases'!AA27</f>
        <v>1227 124th Ave NE Ste A200</v>
      </c>
      <c r="W27" s="0" t="str">
        <f aca="false">IF(ISBLANK('Test Cases'!AB27),"",'Test Cases'!AB27)</f>
        <v/>
      </c>
      <c r="X27" s="0" t="str">
        <f aca="false">'Test Cases'!AC27</f>
        <v>Bellevue</v>
      </c>
      <c r="Y27" s="0" t="str">
        <f aca="false">'Test Cases'!AD27</f>
        <v>WA</v>
      </c>
      <c r="Z27" s="0" t="str">
        <f aca="false">'Test Cases'!AE27</f>
        <v>98005</v>
      </c>
      <c r="AA27" s="0" t="str">
        <f aca="false">'Test Cases'!AF27</f>
        <v>US</v>
      </c>
      <c r="AB27" s="0" t="str">
        <f aca="false">'Test Cases'!AG27</f>
        <v>APPOINTMENT</v>
      </c>
      <c r="AC27" s="0" t="str">
        <f aca="false">'Test Cases'!AH27</f>
        <v>2025-01-15T08:00:00Z</v>
      </c>
      <c r="AD27" s="0" t="str">
        <f aca="false">'Test Cases'!AI27</f>
        <v>2025-01-15T10:00:00Z</v>
      </c>
      <c r="AE27" s="0" t="str">
        <f aca="false">'Test Cases'!AJ27</f>
        <v>2025-01-15T08:00:00Z</v>
      </c>
      <c r="AF27" s="0" t="str">
        <f aca="false">'Test Cases'!AK27</f>
        <v>2025-01-15T10:00:00Z</v>
      </c>
      <c r="AG27" s="0" t="str">
        <f aca="false">'Test Cases'!AL27</f>
        <v>2025-01-15T08:00:00Z</v>
      </c>
      <c r="AH27" s="0" t="str">
        <f aca="false">'Test Cases'!AM27</f>
        <v>2025-01-15T08:30:00Z</v>
      </c>
      <c r="AI27" s="0" t="str">
        <f aca="false">IF(ISBLANK('Test Cases'!AN27),"",'Test Cases'!AN27)</f>
        <v/>
      </c>
      <c r="AJ27" s="0" t="n">
        <f aca="false">'Test Cases'!AO27</f>
        <v>2</v>
      </c>
      <c r="AK27" s="0" t="str">
        <f aca="false">'Test Cases'!AP27</f>
        <v>DELIVERY</v>
      </c>
      <c r="AL27" s="0" t="str">
        <f aca="false">'Test Cases'!AQ27</f>
        <v>LIVE</v>
      </c>
      <c r="AM27" s="0" t="str">
        <f aca="false">'Test Cases'!AR27</f>
        <v>Tacoma Hub</v>
      </c>
      <c r="AN27" s="0" t="str">
        <f aca="false">'Test Cases'!AS27</f>
        <v>TAC-HUB</v>
      </c>
      <c r="AO27" s="0" t="str">
        <f aca="false">'Test Cases'!AT27</f>
        <v>2309 Milwaukee Way</v>
      </c>
      <c r="AP27" s="0" t="str">
        <f aca="false">IF(ISBLANK('Test Cases'!AU27),"",'Test Cases'!AU27)</f>
        <v/>
      </c>
      <c r="AQ27" s="0" t="str">
        <f aca="false">'Test Cases'!AV27</f>
        <v>Tacoma</v>
      </c>
      <c r="AR27" s="0" t="str">
        <f aca="false">'Test Cases'!AW27</f>
        <v>WA</v>
      </c>
      <c r="AS27" s="0" t="str">
        <f aca="false">'Test Cases'!AX27</f>
        <v>98421</v>
      </c>
      <c r="AT27" s="0" t="str">
        <f aca="false">'Test Cases'!AY27</f>
        <v>US</v>
      </c>
      <c r="AU27" s="0" t="str">
        <f aca="false">'Test Cases'!AZ27</f>
        <v>APPOINTMENT</v>
      </c>
      <c r="AV27" s="0" t="str">
        <f aca="false">'Test Cases'!BA27</f>
        <v>2025-01-17T10:00:00Z</v>
      </c>
      <c r="AW27" s="0" t="str">
        <f aca="false">'Test Cases'!BB27</f>
        <v>2025-01-17T14:00:00Z</v>
      </c>
      <c r="AX27" s="0" t="str">
        <f aca="false">'Test Cases'!BC27</f>
        <v>2025-01-17T10:00:00Z</v>
      </c>
      <c r="AY27" s="0" t="str">
        <f aca="false">'Test Cases'!BD27</f>
        <v>2025-01-17T14:00:00Z</v>
      </c>
      <c r="AZ27" s="0" t="str">
        <f aca="false">'Test Cases'!BE27</f>
        <v>2025-01-17T10:00:00Z</v>
      </c>
      <c r="BA27" s="0" t="str">
        <f aca="false">'Test Cases'!BF27</f>
        <v>2025-01-17T10:30:00Z</v>
      </c>
      <c r="BB27" s="0" t="str">
        <f aca="false">IF(ISBLANK('Test Cases'!BG27),"",'Test Cases'!BG27)</f>
        <v/>
      </c>
    </row>
    <row r="28" customFormat="false" ht="15" hidden="false" customHeight="false" outlineLevel="0" collapsed="false">
      <c r="A28" s="0" t="str">
        <f aca="false">'Test Cases'!F28</f>
        <v>20251229-SHIP-027</v>
      </c>
      <c r="B28" s="0" t="str">
        <f aca="false">'Test Cases'!G28</f>
        <v>20251229-TNDR-027</v>
      </c>
      <c r="C28" s="0" t="str">
        <f aca="false">'Test Cases'!H28</f>
        <v>SHIPMENT</v>
      </c>
      <c r="D28" s="0" t="str">
        <f aca="false">'Test Cases'!I28</f>
        <v>COMPLETED</v>
      </c>
      <c r="E28" s="0" t="str">
        <f aca="false">'Test Cases'!J28</f>
        <v>SPOT</v>
      </c>
      <c r="F28" s="0" t="str">
        <f aca="false">'Test Cases'!K28</f>
        <v>TRUCKLOAD</v>
      </c>
      <c r="G28" s="0" t="str">
        <f aca="false">'Test Cases'!L28</f>
        <v>DRY_VAN</v>
      </c>
      <c r="H28" s="0" t="n">
        <f aca="false">'Test Cases'!M28</f>
        <v>500</v>
      </c>
      <c r="I28" s="0" t="str">
        <f aca="false">'Test Cases'!N28</f>
        <v>MILES</v>
      </c>
      <c r="J28" s="0" t="n">
        <f aca="false">'Test Cases'!O28</f>
        <v>40000</v>
      </c>
      <c r="K28" s="0" t="str">
        <f aca="false">'Test Cases'!P28</f>
        <v>LB</v>
      </c>
      <c r="L28" s="0" t="str">
        <f aca="false">'Test Cases'!Q28</f>
        <v>Test Carrier 1 Inc</v>
      </c>
      <c r="M28" s="0" t="str">
        <f aca="false">'Test Cases'!R28</f>
        <v>CAR1</v>
      </c>
      <c r="N28" s="0" t="str">
        <f aca="false">IF(ISBLANK('Test Cases'!S28),"",'Test Cases'!S28)</f>
        <v/>
      </c>
      <c r="O28" s="0" t="str">
        <f aca="false">IF(ISBLANK('Test Cases'!T28),"",'Test Cases'!T28)</f>
        <v/>
      </c>
      <c r="P28" s="0" t="str">
        <f aca="false">IF(ISBLANK('Test Cases'!U28),"",'Test Cases'!U28)</f>
        <v/>
      </c>
      <c r="Q28" s="0" t="n">
        <f aca="false">'Test Cases'!V28</f>
        <v>1</v>
      </c>
      <c r="R28" s="0" t="str">
        <f aca="false">'Test Cases'!W28</f>
        <v>PICKUP</v>
      </c>
      <c r="S28" s="0" t="str">
        <f aca="false">'Test Cases'!X28</f>
        <v>LIVE</v>
      </c>
      <c r="T28" s="0" t="str">
        <f aca="false">'Test Cases'!Y28</f>
        <v>WA State Warehouse</v>
      </c>
      <c r="U28" s="0" t="str">
        <f aca="false">'Test Cases'!Z28</f>
        <v>WA-WH</v>
      </c>
      <c r="V28" s="0" t="str">
        <f aca="false">'Test Cases'!AA28</f>
        <v>1227 124th Ave NE suite a200</v>
      </c>
      <c r="W28" s="0" t="str">
        <f aca="false">IF(ISBLANK('Test Cases'!AB28),"",'Test Cases'!AB28)</f>
        <v/>
      </c>
      <c r="X28" s="0" t="str">
        <f aca="false">'Test Cases'!AC28</f>
        <v>Bellevue</v>
      </c>
      <c r="Y28" s="0" t="str">
        <f aca="false">'Test Cases'!AD28</f>
        <v>WA</v>
      </c>
      <c r="Z28" s="0" t="str">
        <f aca="false">'Test Cases'!AE28</f>
        <v>98005</v>
      </c>
      <c r="AA28" s="0" t="str">
        <f aca="false">'Test Cases'!AF28</f>
        <v>US</v>
      </c>
      <c r="AB28" s="0" t="str">
        <f aca="false">'Test Cases'!AG28</f>
        <v>APPOINTMENT</v>
      </c>
      <c r="AC28" s="0" t="str">
        <f aca="false">'Test Cases'!AH28</f>
        <v>2025-01-15T08:00:00Z</v>
      </c>
      <c r="AD28" s="0" t="str">
        <f aca="false">'Test Cases'!AI28</f>
        <v>2025-01-15T10:00:00Z</v>
      </c>
      <c r="AE28" s="0" t="str">
        <f aca="false">'Test Cases'!AJ28</f>
        <v>2025-01-15T08:00:00Z</v>
      </c>
      <c r="AF28" s="0" t="str">
        <f aca="false">'Test Cases'!AK28</f>
        <v>2025-01-15T10:00:00Z</v>
      </c>
      <c r="AG28" s="0" t="str">
        <f aca="false">'Test Cases'!AL28</f>
        <v>2025-01-15T08:00:00Z</v>
      </c>
      <c r="AH28" s="0" t="str">
        <f aca="false">'Test Cases'!AM28</f>
        <v>2025-01-15T08:30:00Z</v>
      </c>
      <c r="AI28" s="0" t="str">
        <f aca="false">IF(ISBLANK('Test Cases'!AN28),"",'Test Cases'!AN28)</f>
        <v/>
      </c>
      <c r="AJ28" s="0" t="n">
        <f aca="false">'Test Cases'!AO28</f>
        <v>2</v>
      </c>
      <c r="AK28" s="0" t="str">
        <f aca="false">'Test Cases'!AP28</f>
        <v>DELIVERY</v>
      </c>
      <c r="AL28" s="0" t="str">
        <f aca="false">'Test Cases'!AQ28</f>
        <v>LIVE</v>
      </c>
      <c r="AM28" s="0" t="str">
        <f aca="false">'Test Cases'!AR28</f>
        <v>Kent Fulfillment</v>
      </c>
      <c r="AN28" s="0" t="str">
        <f aca="false">'Test Cases'!AS28</f>
        <v>KNT-FC</v>
      </c>
      <c r="AO28" s="0" t="str">
        <f aca="false">'Test Cases'!AT28</f>
        <v>20202 84th Avenue South</v>
      </c>
      <c r="AP28" s="0" t="str">
        <f aca="false">IF(ISBLANK('Test Cases'!AU28),"",'Test Cases'!AU28)</f>
        <v/>
      </c>
      <c r="AQ28" s="0" t="str">
        <f aca="false">'Test Cases'!AV28</f>
        <v>Kent</v>
      </c>
      <c r="AR28" s="0" t="str">
        <f aca="false">'Test Cases'!AW28</f>
        <v>WA</v>
      </c>
      <c r="AS28" s="0" t="str">
        <f aca="false">'Test Cases'!AX28</f>
        <v>98032</v>
      </c>
      <c r="AT28" s="0" t="str">
        <f aca="false">'Test Cases'!AY28</f>
        <v>US</v>
      </c>
      <c r="AU28" s="0" t="str">
        <f aca="false">'Test Cases'!AZ28</f>
        <v>APPOINTMENT</v>
      </c>
      <c r="AV28" s="0" t="str">
        <f aca="false">'Test Cases'!BA28</f>
        <v>2025-01-17T10:00:00Z</v>
      </c>
      <c r="AW28" s="0" t="str">
        <f aca="false">'Test Cases'!BB28</f>
        <v>2025-01-17T14:00:00Z</v>
      </c>
      <c r="AX28" s="0" t="str">
        <f aca="false">'Test Cases'!BC28</f>
        <v>2025-01-17T10:00:00Z</v>
      </c>
      <c r="AY28" s="0" t="str">
        <f aca="false">'Test Cases'!BD28</f>
        <v>2025-01-17T14:00:00Z</v>
      </c>
      <c r="AZ28" s="0" t="str">
        <f aca="false">'Test Cases'!BE28</f>
        <v>2025-01-17T10:00:00Z</v>
      </c>
      <c r="BA28" s="0" t="str">
        <f aca="false">'Test Cases'!BF28</f>
        <v>2025-01-17T10:30:00Z</v>
      </c>
      <c r="BB28" s="0" t="str">
        <f aca="false">IF(ISBLANK('Test Cases'!BG28),"",'Test Cases'!BG28)</f>
        <v/>
      </c>
    </row>
    <row r="29" customFormat="false" ht="15" hidden="false" customHeight="false" outlineLevel="0" collapsed="false">
      <c r="A29" s="0" t="str">
        <f aca="false">'Test Cases'!F29</f>
        <v>20251229-SHIP-028</v>
      </c>
      <c r="B29" s="0" t="str">
        <f aca="false">'Test Cases'!G29</f>
        <v>20251229-TNDR-028</v>
      </c>
      <c r="C29" s="0" t="str">
        <f aca="false">'Test Cases'!H29</f>
        <v>SHIPMENT</v>
      </c>
      <c r="D29" s="0" t="str">
        <f aca="false">'Test Cases'!I29</f>
        <v>COMPLETED</v>
      </c>
      <c r="E29" s="0" t="str">
        <f aca="false">'Test Cases'!J29</f>
        <v>SPOT</v>
      </c>
      <c r="F29" s="0" t="str">
        <f aca="false">'Test Cases'!K29</f>
        <v>TRUCKLOAD</v>
      </c>
      <c r="G29" s="0" t="str">
        <f aca="false">'Test Cases'!L29</f>
        <v>DRY_VAN</v>
      </c>
      <c r="H29" s="0" t="n">
        <f aca="false">'Test Cases'!M29</f>
        <v>500</v>
      </c>
      <c r="I29" s="0" t="str">
        <f aca="false">'Test Cases'!N29</f>
        <v>MILES</v>
      </c>
      <c r="J29" s="0" t="n">
        <f aca="false">'Test Cases'!O29</f>
        <v>40000</v>
      </c>
      <c r="K29" s="0" t="str">
        <f aca="false">'Test Cases'!P29</f>
        <v>LB</v>
      </c>
      <c r="L29" s="0" t="str">
        <f aca="false">'Test Cases'!Q29</f>
        <v>Test Carrier 2 Inc</v>
      </c>
      <c r="M29" s="0" t="str">
        <f aca="false">'Test Cases'!R29</f>
        <v>CAR2</v>
      </c>
      <c r="N29" s="0" t="str">
        <f aca="false">IF(ISBLANK('Test Cases'!S29),"",'Test Cases'!S29)</f>
        <v/>
      </c>
      <c r="O29" s="0" t="str">
        <f aca="false">IF(ISBLANK('Test Cases'!T29),"",'Test Cases'!T29)</f>
        <v/>
      </c>
      <c r="P29" s="0" t="str">
        <f aca="false">IF(ISBLANK('Test Cases'!U29),"",'Test Cases'!U29)</f>
        <v/>
      </c>
      <c r="Q29" s="0" t="n">
        <f aca="false">'Test Cases'!V29</f>
        <v>1</v>
      </c>
      <c r="R29" s="0" t="str">
        <f aca="false">'Test Cases'!W29</f>
        <v>PICKUP</v>
      </c>
      <c r="S29" s="0" t="str">
        <f aca="false">'Test Cases'!X29</f>
        <v>LIVE</v>
      </c>
      <c r="T29" s="0" t="str">
        <f aca="false">'Test Cases'!Y29</f>
        <v>Amazon OAK4 Receiving</v>
      </c>
      <c r="U29" s="0" t="str">
        <f aca="false">'Test Cases'!Z29</f>
        <v>OAK4-REC</v>
      </c>
      <c r="V29" s="0" t="str">
        <f aca="false">'Test Cases'!AA29</f>
        <v>1555 N. Chrisman Road</v>
      </c>
      <c r="W29" s="0" t="str">
        <f aca="false">IF(ISBLANK('Test Cases'!AB29),"",'Test Cases'!AB29)</f>
        <v>Dock A</v>
      </c>
      <c r="X29" s="0" t="str">
        <f aca="false">'Test Cases'!AC29</f>
        <v>Tracy</v>
      </c>
      <c r="Y29" s="0" t="str">
        <f aca="false">'Test Cases'!AD29</f>
        <v>CA</v>
      </c>
      <c r="Z29" s="0" t="str">
        <f aca="false">'Test Cases'!AE29</f>
        <v>95304</v>
      </c>
      <c r="AA29" s="0" t="str">
        <f aca="false">'Test Cases'!AF29</f>
        <v>US</v>
      </c>
      <c r="AB29" s="0" t="str">
        <f aca="false">'Test Cases'!AG29</f>
        <v>APPOINTMENT</v>
      </c>
      <c r="AC29" s="0" t="str">
        <f aca="false">'Test Cases'!AH29</f>
        <v>2025-01-15T08:00:00Z</v>
      </c>
      <c r="AD29" s="0" t="str">
        <f aca="false">'Test Cases'!AI29</f>
        <v>2025-01-15T10:00:00Z</v>
      </c>
      <c r="AE29" s="0" t="str">
        <f aca="false">'Test Cases'!AJ29</f>
        <v>2025-01-15T08:00:00Z</v>
      </c>
      <c r="AF29" s="0" t="str">
        <f aca="false">'Test Cases'!AK29</f>
        <v>2025-01-15T10:00:00Z</v>
      </c>
      <c r="AG29" s="0" t="str">
        <f aca="false">'Test Cases'!AL29</f>
        <v>2025-01-15T08:00:00Z</v>
      </c>
      <c r="AH29" s="0" t="str">
        <f aca="false">'Test Cases'!AM29</f>
        <v>2025-01-15T08:30:00Z</v>
      </c>
      <c r="AI29" s="0" t="str">
        <f aca="false">IF(ISBLANK('Test Cases'!AN29),"",'Test Cases'!AN29)</f>
        <v/>
      </c>
      <c r="AJ29" s="0" t="n">
        <f aca="false">'Test Cases'!AO29</f>
        <v>2</v>
      </c>
      <c r="AK29" s="0" t="str">
        <f aca="false">'Test Cases'!AP29</f>
        <v>DELIVERY</v>
      </c>
      <c r="AL29" s="0" t="str">
        <f aca="false">'Test Cases'!AQ29</f>
        <v>LIVE</v>
      </c>
      <c r="AM29" s="0" t="str">
        <f aca="false">'Test Cases'!AR29</f>
        <v>Target Atlanta</v>
      </c>
      <c r="AN29" s="0" t="str">
        <f aca="false">'Test Cases'!AS29</f>
        <v>TGT-ATL</v>
      </c>
      <c r="AO29" s="0" t="str">
        <f aca="false">'Test Cases'!AT29</f>
        <v>3900 Crown Rd SW</v>
      </c>
      <c r="AP29" s="0" t="str">
        <f aca="false">IF(ISBLANK('Test Cases'!AU29),"",'Test Cases'!AU29)</f>
        <v/>
      </c>
      <c r="AQ29" s="0" t="str">
        <f aca="false">'Test Cases'!AV29</f>
        <v>Atlanta</v>
      </c>
      <c r="AR29" s="0" t="str">
        <f aca="false">'Test Cases'!AW29</f>
        <v>GA</v>
      </c>
      <c r="AS29" s="0" t="str">
        <f aca="false">'Test Cases'!AX29</f>
        <v>30336</v>
      </c>
      <c r="AT29" s="0" t="str">
        <f aca="false">'Test Cases'!AY29</f>
        <v>US</v>
      </c>
      <c r="AU29" s="0" t="str">
        <f aca="false">'Test Cases'!AZ29</f>
        <v>APPOINTMENT</v>
      </c>
      <c r="AV29" s="0" t="str">
        <f aca="false">'Test Cases'!BA29</f>
        <v>2025-01-17T10:00:00Z</v>
      </c>
      <c r="AW29" s="0" t="str">
        <f aca="false">'Test Cases'!BB29</f>
        <v>2025-01-17T14:00:00Z</v>
      </c>
      <c r="AX29" s="0" t="str">
        <f aca="false">'Test Cases'!BC29</f>
        <v>2025-01-17T10:00:00Z</v>
      </c>
      <c r="AY29" s="0" t="str">
        <f aca="false">'Test Cases'!BD29</f>
        <v>2025-01-17T14:00:00Z</v>
      </c>
      <c r="AZ29" s="0" t="str">
        <f aca="false">'Test Cases'!BE29</f>
        <v>2025-01-17T10:00:00Z</v>
      </c>
      <c r="BA29" s="0" t="str">
        <f aca="false">'Test Cases'!BF29</f>
        <v>2025-01-17T10:30:00Z</v>
      </c>
      <c r="BB29" s="0" t="str">
        <f aca="false">IF(ISBLANK('Test Cases'!BG29),"",'Test Cases'!BG29)</f>
        <v/>
      </c>
    </row>
    <row r="30" customFormat="false" ht="15" hidden="false" customHeight="false" outlineLevel="0" collapsed="false">
      <c r="A30" s="0" t="str">
        <f aca="false">'Test Cases'!F30</f>
        <v>20251229-SHIP-029</v>
      </c>
      <c r="B30" s="0" t="str">
        <f aca="false">'Test Cases'!G30</f>
        <v>20251229-TNDR-029</v>
      </c>
      <c r="C30" s="0" t="str">
        <f aca="false">'Test Cases'!H30</f>
        <v>SHIPMENT</v>
      </c>
      <c r="D30" s="0" t="str">
        <f aca="false">'Test Cases'!I30</f>
        <v>COMPLETED</v>
      </c>
      <c r="E30" s="0" t="str">
        <f aca="false">'Test Cases'!J30</f>
        <v>SPOT</v>
      </c>
      <c r="F30" s="0" t="str">
        <f aca="false">'Test Cases'!K30</f>
        <v>TRUCKLOAD</v>
      </c>
      <c r="G30" s="0" t="str">
        <f aca="false">'Test Cases'!L30</f>
        <v>DRY_VAN</v>
      </c>
      <c r="H30" s="0" t="n">
        <f aca="false">'Test Cases'!M30</f>
        <v>500</v>
      </c>
      <c r="I30" s="0" t="str">
        <f aca="false">'Test Cases'!N30</f>
        <v>MILES</v>
      </c>
      <c r="J30" s="0" t="n">
        <f aca="false">'Test Cases'!O30</f>
        <v>40000</v>
      </c>
      <c r="K30" s="0" t="str">
        <f aca="false">'Test Cases'!P30</f>
        <v>LB</v>
      </c>
      <c r="L30" s="0" t="str">
        <f aca="false">'Test Cases'!Q30</f>
        <v>Test Carrier 1 Inc</v>
      </c>
      <c r="M30" s="0" t="str">
        <f aca="false">'Test Cases'!R30</f>
        <v>CAR1</v>
      </c>
      <c r="N30" s="0" t="str">
        <f aca="false">IF(ISBLANK('Test Cases'!S30),"",'Test Cases'!S30)</f>
        <v/>
      </c>
      <c r="O30" s="0" t="str">
        <f aca="false">IF(ISBLANK('Test Cases'!T30),"",'Test Cases'!T30)</f>
        <v/>
      </c>
      <c r="P30" s="0" t="str">
        <f aca="false">IF(ISBLANK('Test Cases'!U30),"",'Test Cases'!U30)</f>
        <v/>
      </c>
      <c r="Q30" s="0" t="n">
        <f aca="false">'Test Cases'!V30</f>
        <v>1</v>
      </c>
      <c r="R30" s="0" t="str">
        <f aca="false">'Test Cases'!W30</f>
        <v>PICKUP</v>
      </c>
      <c r="S30" s="0" t="str">
        <f aca="false">'Test Cases'!X30</f>
        <v>LIVE</v>
      </c>
      <c r="T30" s="0" t="str">
        <f aca="false">'Test Cases'!Y30</f>
        <v>Amazon OAK4 Shipping</v>
      </c>
      <c r="U30" s="0" t="str">
        <f aca="false">'Test Cases'!Z30</f>
        <v>OAK4-SHP</v>
      </c>
      <c r="V30" s="0" t="str">
        <f aca="false">'Test Cases'!AA30</f>
        <v>1555 N. Chrisman Road</v>
      </c>
      <c r="W30" s="0" t="str">
        <f aca="false">IF(ISBLANK('Test Cases'!AB30),"",'Test Cases'!AB30)</f>
        <v>Dock B</v>
      </c>
      <c r="X30" s="0" t="str">
        <f aca="false">'Test Cases'!AC30</f>
        <v>Tracy</v>
      </c>
      <c r="Y30" s="0" t="str">
        <f aca="false">'Test Cases'!AD30</f>
        <v>CA</v>
      </c>
      <c r="Z30" s="0" t="str">
        <f aca="false">'Test Cases'!AE30</f>
        <v>95304</v>
      </c>
      <c r="AA30" s="0" t="str">
        <f aca="false">'Test Cases'!AF30</f>
        <v>US</v>
      </c>
      <c r="AB30" s="0" t="str">
        <f aca="false">'Test Cases'!AG30</f>
        <v>APPOINTMENT</v>
      </c>
      <c r="AC30" s="0" t="str">
        <f aca="false">'Test Cases'!AH30</f>
        <v>2025-01-15T08:00:00Z</v>
      </c>
      <c r="AD30" s="0" t="str">
        <f aca="false">'Test Cases'!AI30</f>
        <v>2025-01-15T10:00:00Z</v>
      </c>
      <c r="AE30" s="0" t="str">
        <f aca="false">'Test Cases'!AJ30</f>
        <v>2025-01-15T08:00:00Z</v>
      </c>
      <c r="AF30" s="0" t="str">
        <f aca="false">'Test Cases'!AK30</f>
        <v>2025-01-15T10:00:00Z</v>
      </c>
      <c r="AG30" s="0" t="str">
        <f aca="false">'Test Cases'!AL30</f>
        <v>2025-01-15T08:00:00Z</v>
      </c>
      <c r="AH30" s="0" t="str">
        <f aca="false">'Test Cases'!AM30</f>
        <v>2025-01-15T08:30:00Z</v>
      </c>
      <c r="AI30" s="0" t="str">
        <f aca="false">IF(ISBLANK('Test Cases'!AN30),"",'Test Cases'!AN30)</f>
        <v/>
      </c>
      <c r="AJ30" s="0" t="n">
        <f aca="false">'Test Cases'!AO30</f>
        <v>2</v>
      </c>
      <c r="AK30" s="0" t="str">
        <f aca="false">'Test Cases'!AP30</f>
        <v>DELIVERY</v>
      </c>
      <c r="AL30" s="0" t="str">
        <f aca="false">'Test Cases'!AQ30</f>
        <v>LIVE</v>
      </c>
      <c r="AM30" s="0" t="str">
        <f aca="false">'Test Cases'!AR30</f>
        <v>Kroger Louisville</v>
      </c>
      <c r="AN30" s="0" t="str">
        <f aca="false">'Test Cases'!AS30</f>
        <v>KRG-LOU</v>
      </c>
      <c r="AO30" s="0" t="str">
        <f aca="false">'Test Cases'!AT30</f>
        <v>3901 Produce Rd</v>
      </c>
      <c r="AP30" s="0" t="str">
        <f aca="false">IF(ISBLANK('Test Cases'!AU30),"",'Test Cases'!AU30)</f>
        <v/>
      </c>
      <c r="AQ30" s="0" t="str">
        <f aca="false">'Test Cases'!AV30</f>
        <v>Louisville</v>
      </c>
      <c r="AR30" s="0" t="str">
        <f aca="false">'Test Cases'!AW30</f>
        <v>KY</v>
      </c>
      <c r="AS30" s="0" t="str">
        <f aca="false">'Test Cases'!AX30</f>
        <v>40213</v>
      </c>
      <c r="AT30" s="0" t="str">
        <f aca="false">'Test Cases'!AY30</f>
        <v>US</v>
      </c>
      <c r="AU30" s="0" t="str">
        <f aca="false">'Test Cases'!AZ30</f>
        <v>APPOINTMENT</v>
      </c>
      <c r="AV30" s="0" t="str">
        <f aca="false">'Test Cases'!BA30</f>
        <v>2025-01-17T10:00:00Z</v>
      </c>
      <c r="AW30" s="0" t="str">
        <f aca="false">'Test Cases'!BB30</f>
        <v>2025-01-17T14:00:00Z</v>
      </c>
      <c r="AX30" s="0" t="str">
        <f aca="false">'Test Cases'!BC30</f>
        <v>2025-01-17T10:00:00Z</v>
      </c>
      <c r="AY30" s="0" t="str">
        <f aca="false">'Test Cases'!BD30</f>
        <v>2025-01-17T14:00:00Z</v>
      </c>
      <c r="AZ30" s="0" t="str">
        <f aca="false">'Test Cases'!BE30</f>
        <v>2025-01-17T10:00:00Z</v>
      </c>
      <c r="BA30" s="0" t="str">
        <f aca="false">'Test Cases'!BF30</f>
        <v>2025-01-17T10:30:00Z</v>
      </c>
      <c r="BB30" s="0" t="str">
        <f aca="false">IF(ISBLANK('Test Cases'!BG30),"",'Test Cases'!BG30)</f>
        <v/>
      </c>
    </row>
    <row r="31" customFormat="false" ht="15" hidden="false" customHeight="false" outlineLevel="0" collapsed="false">
      <c r="A31" s="0" t="str">
        <f aca="false">'Test Cases'!F31</f>
        <v>20251229-SHIP-030</v>
      </c>
      <c r="B31" s="0" t="str">
        <f aca="false">'Test Cases'!G31</f>
        <v>20251229-TNDR-030</v>
      </c>
      <c r="C31" s="0" t="str">
        <f aca="false">'Test Cases'!H31</f>
        <v>SHIPMENT</v>
      </c>
      <c r="D31" s="0" t="str">
        <f aca="false">'Test Cases'!I31</f>
        <v>COMPLETED</v>
      </c>
      <c r="E31" s="0" t="str">
        <f aca="false">'Test Cases'!J31</f>
        <v>SPOT</v>
      </c>
      <c r="F31" s="0" t="str">
        <f aca="false">'Test Cases'!K31</f>
        <v>TRUCKLOAD</v>
      </c>
      <c r="G31" s="0" t="str">
        <f aca="false">'Test Cases'!L31</f>
        <v>DRY_VAN</v>
      </c>
      <c r="H31" s="0" t="n">
        <f aca="false">'Test Cases'!M31</f>
        <v>500</v>
      </c>
      <c r="I31" s="0" t="str">
        <f aca="false">'Test Cases'!N31</f>
        <v>MILES</v>
      </c>
      <c r="J31" s="0" t="n">
        <f aca="false">'Test Cases'!O31</f>
        <v>40000</v>
      </c>
      <c r="K31" s="0" t="str">
        <f aca="false">'Test Cases'!P31</f>
        <v>LB</v>
      </c>
      <c r="L31" s="0" t="str">
        <f aca="false">'Test Cases'!Q31</f>
        <v>Test Carrier 2 Inc</v>
      </c>
      <c r="M31" s="0" t="str">
        <f aca="false">'Test Cases'!R31</f>
        <v>CAR2</v>
      </c>
      <c r="N31" s="0" t="str">
        <f aca="false">IF(ISBLANK('Test Cases'!S31),"",'Test Cases'!S31)</f>
        <v/>
      </c>
      <c r="O31" s="0" t="str">
        <f aca="false">IF(ISBLANK('Test Cases'!T31),"",'Test Cases'!T31)</f>
        <v/>
      </c>
      <c r="P31" s="0" t="str">
        <f aca="false">IF(ISBLANK('Test Cases'!U31),"",'Test Cases'!U31)</f>
        <v/>
      </c>
      <c r="Q31" s="0" t="n">
        <f aca="false">'Test Cases'!V31</f>
        <v>1</v>
      </c>
      <c r="R31" s="0" t="str">
        <f aca="false">'Test Cases'!W31</f>
        <v>PICKUP</v>
      </c>
      <c r="S31" s="0" t="str">
        <f aca="false">'Test Cases'!X31</f>
        <v>LIVE</v>
      </c>
      <c r="T31" s="0" t="str">
        <f aca="false">'Test Cases'!Y31</f>
        <v>Tracy Campus Bldg C</v>
      </c>
      <c r="U31" s="0" t="str">
        <f aca="false">'Test Cases'!Z31</f>
        <v>TRC-BLDC</v>
      </c>
      <c r="V31" s="0" t="str">
        <f aca="false">'Test Cases'!AA31</f>
        <v>1555 N. Chrisman Road</v>
      </c>
      <c r="W31" s="0" t="str">
        <f aca="false">IF(ISBLANK('Test Cases'!AB31),"",'Test Cases'!AB31)</f>
        <v>Building C</v>
      </c>
      <c r="X31" s="0" t="str">
        <f aca="false">'Test Cases'!AC31</f>
        <v>Tracy</v>
      </c>
      <c r="Y31" s="0" t="str">
        <f aca="false">'Test Cases'!AD31</f>
        <v>CA</v>
      </c>
      <c r="Z31" s="0" t="str">
        <f aca="false">'Test Cases'!AE31</f>
        <v>95304</v>
      </c>
      <c r="AA31" s="0" t="str">
        <f aca="false">'Test Cases'!AF31</f>
        <v>US</v>
      </c>
      <c r="AB31" s="0" t="str">
        <f aca="false">'Test Cases'!AG31</f>
        <v>APPOINTMENT</v>
      </c>
      <c r="AC31" s="0" t="str">
        <f aca="false">'Test Cases'!AH31</f>
        <v>2025-01-15T08:00:00Z</v>
      </c>
      <c r="AD31" s="0" t="str">
        <f aca="false">'Test Cases'!AI31</f>
        <v>2025-01-15T10:00:00Z</v>
      </c>
      <c r="AE31" s="0" t="str">
        <f aca="false">'Test Cases'!AJ31</f>
        <v>2025-01-15T08:00:00Z</v>
      </c>
      <c r="AF31" s="0" t="str">
        <f aca="false">'Test Cases'!AK31</f>
        <v>2025-01-15T10:00:00Z</v>
      </c>
      <c r="AG31" s="0" t="str">
        <f aca="false">'Test Cases'!AL31</f>
        <v>2025-01-15T08:00:00Z</v>
      </c>
      <c r="AH31" s="0" t="str">
        <f aca="false">'Test Cases'!AM31</f>
        <v>2025-01-15T08:30:00Z</v>
      </c>
      <c r="AI31" s="0" t="str">
        <f aca="false">IF(ISBLANK('Test Cases'!AN31),"",'Test Cases'!AN31)</f>
        <v/>
      </c>
      <c r="AJ31" s="0" t="n">
        <f aca="false">'Test Cases'!AO31</f>
        <v>2</v>
      </c>
      <c r="AK31" s="0" t="str">
        <f aca="false">'Test Cases'!AP31</f>
        <v>DELIVERY</v>
      </c>
      <c r="AL31" s="0" t="str">
        <f aca="false">'Test Cases'!AQ31</f>
        <v>LIVE</v>
      </c>
      <c r="AM31" s="0" t="str">
        <f aca="false">'Test Cases'!AR31</f>
        <v>CVS Atlanta DC</v>
      </c>
      <c r="AN31" s="0" t="str">
        <f aca="false">'Test Cases'!AS31</f>
        <v>CVS-ATL</v>
      </c>
      <c r="AO31" s="0" t="str">
        <f aca="false">'Test Cases'!AT31</f>
        <v>4100 Wendell Dr SW</v>
      </c>
      <c r="AP31" s="0" t="str">
        <f aca="false">IF(ISBLANK('Test Cases'!AU31),"",'Test Cases'!AU31)</f>
        <v/>
      </c>
      <c r="AQ31" s="0" t="str">
        <f aca="false">'Test Cases'!AV31</f>
        <v>Atlanta</v>
      </c>
      <c r="AR31" s="0" t="str">
        <f aca="false">'Test Cases'!AW31</f>
        <v>GA</v>
      </c>
      <c r="AS31" s="0" t="str">
        <f aca="false">'Test Cases'!AX31</f>
        <v>30336</v>
      </c>
      <c r="AT31" s="0" t="str">
        <f aca="false">'Test Cases'!AY31</f>
        <v>US</v>
      </c>
      <c r="AU31" s="0" t="str">
        <f aca="false">'Test Cases'!AZ31</f>
        <v>APPOINTMENT</v>
      </c>
      <c r="AV31" s="0" t="str">
        <f aca="false">'Test Cases'!BA31</f>
        <v>2025-01-17T10:00:00Z</v>
      </c>
      <c r="AW31" s="0" t="str">
        <f aca="false">'Test Cases'!BB31</f>
        <v>2025-01-17T14:00:00Z</v>
      </c>
      <c r="AX31" s="0" t="str">
        <f aca="false">'Test Cases'!BC31</f>
        <v>2025-01-17T10:00:00Z</v>
      </c>
      <c r="AY31" s="0" t="str">
        <f aca="false">'Test Cases'!BD31</f>
        <v>2025-01-17T14:00:00Z</v>
      </c>
      <c r="AZ31" s="0" t="str">
        <f aca="false">'Test Cases'!BE31</f>
        <v>2025-01-17T10:00:00Z</v>
      </c>
      <c r="BA31" s="0" t="str">
        <f aca="false">'Test Cases'!BF31</f>
        <v>2025-01-17T10:30:00Z</v>
      </c>
      <c r="BB31" s="0" t="str">
        <f aca="false">IF(ISBLANK('Test Cases'!BG31),"",'Test Cases'!BG31)</f>
        <v/>
      </c>
    </row>
    <row r="32" customFormat="false" ht="15" hidden="false" customHeight="false" outlineLevel="0" collapsed="false">
      <c r="A32" s="0" t="str">
        <f aca="false">'Test Cases'!F32</f>
        <v>20251229-SHIP-031</v>
      </c>
      <c r="B32" s="0" t="str">
        <f aca="false">'Test Cases'!G32</f>
        <v>20251229-TNDR-031</v>
      </c>
      <c r="C32" s="0" t="str">
        <f aca="false">'Test Cases'!H32</f>
        <v>SHIPMENT</v>
      </c>
      <c r="D32" s="0" t="str">
        <f aca="false">'Test Cases'!I32</f>
        <v>COMPLETED</v>
      </c>
      <c r="E32" s="0" t="str">
        <f aca="false">'Test Cases'!J32</f>
        <v>SPOT</v>
      </c>
      <c r="F32" s="0" t="str">
        <f aca="false">'Test Cases'!K32</f>
        <v>TRUCKLOAD</v>
      </c>
      <c r="G32" s="0" t="str">
        <f aca="false">'Test Cases'!L32</f>
        <v>DRY_VAN</v>
      </c>
      <c r="H32" s="0" t="n">
        <f aca="false">'Test Cases'!M32</f>
        <v>500</v>
      </c>
      <c r="I32" s="0" t="str">
        <f aca="false">'Test Cases'!N32</f>
        <v>MILES</v>
      </c>
      <c r="J32" s="0" t="n">
        <f aca="false">'Test Cases'!O32</f>
        <v>40000</v>
      </c>
      <c r="K32" s="0" t="str">
        <f aca="false">'Test Cases'!P32</f>
        <v>LB</v>
      </c>
      <c r="L32" s="0" t="str">
        <f aca="false">'Test Cases'!Q32</f>
        <v>Test Carrier 1 Inc</v>
      </c>
      <c r="M32" s="0" t="str">
        <f aca="false">'Test Cases'!R32</f>
        <v>CAR1</v>
      </c>
      <c r="N32" s="0" t="str">
        <f aca="false">IF(ISBLANK('Test Cases'!S32),"",'Test Cases'!S32)</f>
        <v/>
      </c>
      <c r="O32" s="0" t="str">
        <f aca="false">IF(ISBLANK('Test Cases'!T32),"",'Test Cases'!T32)</f>
        <v/>
      </c>
      <c r="P32" s="0" t="str">
        <f aca="false">IF(ISBLANK('Test Cases'!U32),"",'Test Cases'!U32)</f>
        <v/>
      </c>
      <c r="Q32" s="0" t="n">
        <f aca="false">'Test Cases'!V32</f>
        <v>1</v>
      </c>
      <c r="R32" s="0" t="str">
        <f aca="false">'Test Cases'!W32</f>
        <v>PICKUP</v>
      </c>
      <c r="S32" s="0" t="str">
        <f aca="false">'Test Cases'!X32</f>
        <v>LIVE</v>
      </c>
      <c r="T32" s="0" t="str">
        <f aca="false">'Test Cases'!Y32</f>
        <v>Unknown Facility</v>
      </c>
      <c r="U32" s="0" t="str">
        <f aca="false">'Test Cases'!Z32</f>
        <v>UNK-001</v>
      </c>
      <c r="V32" s="0" t="str">
        <f aca="false">'Test Cases'!AA32</f>
        <v>123 Fake Street</v>
      </c>
      <c r="W32" s="0" t="str">
        <f aca="false">IF(ISBLANK('Test Cases'!AB32),"",'Test Cases'!AB32)</f>
        <v/>
      </c>
      <c r="X32" s="0" t="str">
        <f aca="false">'Test Cases'!AC32</f>
        <v>Nowhere</v>
      </c>
      <c r="Y32" s="0" t="str">
        <f aca="false">'Test Cases'!AD32</f>
        <v>XX</v>
      </c>
      <c r="Z32" s="0" t="str">
        <f aca="false">'Test Cases'!AE32</f>
        <v>00000</v>
      </c>
      <c r="AA32" s="0" t="str">
        <f aca="false">'Test Cases'!AF32</f>
        <v>US</v>
      </c>
      <c r="AB32" s="0" t="str">
        <f aca="false">'Test Cases'!AG32</f>
        <v>APPOINTMENT</v>
      </c>
      <c r="AC32" s="0" t="str">
        <f aca="false">'Test Cases'!AH32</f>
        <v>2025-01-15T08:00:00Z</v>
      </c>
      <c r="AD32" s="0" t="str">
        <f aca="false">'Test Cases'!AI32</f>
        <v>2025-01-15T10:00:00Z</v>
      </c>
      <c r="AE32" s="0" t="str">
        <f aca="false">'Test Cases'!AJ32</f>
        <v>2025-01-15T08:00:00Z</v>
      </c>
      <c r="AF32" s="0" t="str">
        <f aca="false">'Test Cases'!AK32</f>
        <v>2025-01-15T10:00:00Z</v>
      </c>
      <c r="AG32" s="0" t="str">
        <f aca="false">'Test Cases'!AL32</f>
        <v>2025-01-15T08:00:00Z</v>
      </c>
      <c r="AH32" s="0" t="str">
        <f aca="false">'Test Cases'!AM32</f>
        <v>2025-01-15T08:30:00Z</v>
      </c>
      <c r="AI32" s="0" t="str">
        <f aca="false">IF(ISBLANK('Test Cases'!AN32),"",'Test Cases'!AN32)</f>
        <v/>
      </c>
      <c r="AJ32" s="0" t="n">
        <f aca="false">'Test Cases'!AO32</f>
        <v>2</v>
      </c>
      <c r="AK32" s="0" t="str">
        <f aca="false">'Test Cases'!AP32</f>
        <v>DELIVERY</v>
      </c>
      <c r="AL32" s="0" t="str">
        <f aca="false">'Test Cases'!AQ32</f>
        <v>LIVE</v>
      </c>
      <c r="AM32" s="0" t="str">
        <f aca="false">'Test Cases'!AR32</f>
        <v>Amazon BFI1</v>
      </c>
      <c r="AN32" s="0" t="str">
        <f aca="false">'Test Cases'!AS32</f>
        <v>BFI1</v>
      </c>
      <c r="AO32" s="0" t="str">
        <f aca="false">'Test Cases'!AT32</f>
        <v>1800 140th Avenue Suite A</v>
      </c>
      <c r="AP32" s="0" t="str">
        <f aca="false">IF(ISBLANK('Test Cases'!AU32),"",'Test Cases'!AU32)</f>
        <v/>
      </c>
      <c r="AQ32" s="0" t="str">
        <f aca="false">'Test Cases'!AV32</f>
        <v>Sumner</v>
      </c>
      <c r="AR32" s="0" t="str">
        <f aca="false">'Test Cases'!AW32</f>
        <v>WA</v>
      </c>
      <c r="AS32" s="0" t="str">
        <f aca="false">'Test Cases'!AX32</f>
        <v>98390</v>
      </c>
      <c r="AT32" s="0" t="str">
        <f aca="false">'Test Cases'!AY32</f>
        <v>US</v>
      </c>
      <c r="AU32" s="0" t="str">
        <f aca="false">'Test Cases'!AZ32</f>
        <v>APPOINTMENT</v>
      </c>
      <c r="AV32" s="0" t="str">
        <f aca="false">'Test Cases'!BA32</f>
        <v>2025-01-17T10:00:00Z</v>
      </c>
      <c r="AW32" s="0" t="str">
        <f aca="false">'Test Cases'!BB32</f>
        <v>2025-01-17T14:00:00Z</v>
      </c>
      <c r="AX32" s="0" t="str">
        <f aca="false">'Test Cases'!BC32</f>
        <v>2025-01-17T10:00:00Z</v>
      </c>
      <c r="AY32" s="0" t="str">
        <f aca="false">'Test Cases'!BD32</f>
        <v>2025-01-17T14:00:00Z</v>
      </c>
      <c r="AZ32" s="0" t="str">
        <f aca="false">'Test Cases'!BE32</f>
        <v>2025-01-17T10:00:00Z</v>
      </c>
      <c r="BA32" s="0" t="str">
        <f aca="false">'Test Cases'!BF32</f>
        <v>2025-01-17T10:30:00Z</v>
      </c>
      <c r="BB32" s="0" t="str">
        <f aca="false">IF(ISBLANK('Test Cases'!BG32),"",'Test Cases'!BG32)</f>
        <v/>
      </c>
    </row>
    <row r="33" customFormat="false" ht="15" hidden="false" customHeight="false" outlineLevel="0" collapsed="false">
      <c r="A33" s="0" t="str">
        <f aca="false">'Test Cases'!F33</f>
        <v>20251229-SHIP-032</v>
      </c>
      <c r="B33" s="0" t="str">
        <f aca="false">'Test Cases'!G33</f>
        <v>20251229-TNDR-032</v>
      </c>
      <c r="C33" s="0" t="str">
        <f aca="false">'Test Cases'!H33</f>
        <v>SHIPMENT</v>
      </c>
      <c r="D33" s="0" t="str">
        <f aca="false">'Test Cases'!I33</f>
        <v>COMPLETED</v>
      </c>
      <c r="E33" s="0" t="str">
        <f aca="false">'Test Cases'!J33</f>
        <v>SPOT</v>
      </c>
      <c r="F33" s="0" t="str">
        <f aca="false">'Test Cases'!K33</f>
        <v>TRUCKLOAD</v>
      </c>
      <c r="G33" s="0" t="str">
        <f aca="false">'Test Cases'!L33</f>
        <v>DRY_VAN</v>
      </c>
      <c r="H33" s="0" t="n">
        <f aca="false">'Test Cases'!M33</f>
        <v>500</v>
      </c>
      <c r="I33" s="0" t="str">
        <f aca="false">'Test Cases'!N33</f>
        <v>MILES</v>
      </c>
      <c r="J33" s="0" t="n">
        <f aca="false">'Test Cases'!O33</f>
        <v>40000</v>
      </c>
      <c r="K33" s="0" t="str">
        <f aca="false">'Test Cases'!P33</f>
        <v>LB</v>
      </c>
      <c r="L33" s="0" t="str">
        <f aca="false">'Test Cases'!Q33</f>
        <v>Test Carrier 2 Inc</v>
      </c>
      <c r="M33" s="0" t="str">
        <f aca="false">'Test Cases'!R33</f>
        <v>CAR2</v>
      </c>
      <c r="N33" s="0" t="str">
        <f aca="false">IF(ISBLANK('Test Cases'!S33),"",'Test Cases'!S33)</f>
        <v/>
      </c>
      <c r="O33" s="0" t="str">
        <f aca="false">IF(ISBLANK('Test Cases'!T33),"",'Test Cases'!T33)</f>
        <v/>
      </c>
      <c r="P33" s="0" t="str">
        <f aca="false">IF(ISBLANK('Test Cases'!U33),"",'Test Cases'!U33)</f>
        <v/>
      </c>
      <c r="Q33" s="0" t="n">
        <f aca="false">'Test Cases'!V33</f>
        <v>1</v>
      </c>
      <c r="R33" s="0" t="str">
        <f aca="false">'Test Cases'!W33</f>
        <v>PICKUP</v>
      </c>
      <c r="S33" s="0" t="str">
        <f aca="false">'Test Cases'!X33</f>
        <v>LIVE</v>
      </c>
      <c r="T33" s="0" t="str">
        <f aca="false">'Test Cases'!Y33</f>
        <v>Seattle Mail Center</v>
      </c>
      <c r="U33" s="0" t="str">
        <f aca="false">'Test Cases'!Z33</f>
        <v>SEA-PO</v>
      </c>
      <c r="V33" s="0" t="str">
        <f aca="false">'Test Cases'!AA33</f>
        <v>PO Box 80387</v>
      </c>
      <c r="W33" s="0" t="str">
        <f aca="false">IF(ISBLANK('Test Cases'!AB33),"",'Test Cases'!AB33)</f>
        <v/>
      </c>
      <c r="X33" s="0" t="str">
        <f aca="false">'Test Cases'!AC33</f>
        <v>Seattle</v>
      </c>
      <c r="Y33" s="0" t="str">
        <f aca="false">'Test Cases'!AD33</f>
        <v>WA</v>
      </c>
      <c r="Z33" s="0" t="str">
        <f aca="false">'Test Cases'!AE33</f>
        <v>98108</v>
      </c>
      <c r="AA33" s="0" t="str">
        <f aca="false">'Test Cases'!AF33</f>
        <v>US</v>
      </c>
      <c r="AB33" s="0" t="str">
        <f aca="false">'Test Cases'!AG33</f>
        <v>APPOINTMENT</v>
      </c>
      <c r="AC33" s="0" t="str">
        <f aca="false">'Test Cases'!AH33</f>
        <v>2025-01-15T08:00:00Z</v>
      </c>
      <c r="AD33" s="0" t="str">
        <f aca="false">'Test Cases'!AI33</f>
        <v>2025-01-15T10:00:00Z</v>
      </c>
      <c r="AE33" s="0" t="str">
        <f aca="false">'Test Cases'!AJ33</f>
        <v>2025-01-15T08:00:00Z</v>
      </c>
      <c r="AF33" s="0" t="str">
        <f aca="false">'Test Cases'!AK33</f>
        <v>2025-01-15T10:00:00Z</v>
      </c>
      <c r="AG33" s="0" t="str">
        <f aca="false">'Test Cases'!AL33</f>
        <v>2025-01-15T08:00:00Z</v>
      </c>
      <c r="AH33" s="0" t="str">
        <f aca="false">'Test Cases'!AM33</f>
        <v>2025-01-15T08:30:00Z</v>
      </c>
      <c r="AI33" s="0" t="str">
        <f aca="false">IF(ISBLANK('Test Cases'!AN33),"",'Test Cases'!AN33)</f>
        <v/>
      </c>
      <c r="AJ33" s="0" t="n">
        <f aca="false">'Test Cases'!AO33</f>
        <v>2</v>
      </c>
      <c r="AK33" s="0" t="str">
        <f aca="false">'Test Cases'!AP33</f>
        <v>DELIVERY</v>
      </c>
      <c r="AL33" s="0" t="str">
        <f aca="false">'Test Cases'!AQ33</f>
        <v>LIVE</v>
      </c>
      <c r="AM33" s="0" t="str">
        <f aca="false">'Test Cases'!AR33</f>
        <v>Amazon MKE1</v>
      </c>
      <c r="AN33" s="0" t="str">
        <f aca="false">'Test Cases'!AS33</f>
        <v>MKE1</v>
      </c>
      <c r="AO33" s="0" t="str">
        <f aca="false">'Test Cases'!AT33</f>
        <v>3501 120th Ave</v>
      </c>
      <c r="AP33" s="0" t="str">
        <f aca="false">IF(ISBLANK('Test Cases'!AU33),"",'Test Cases'!AU33)</f>
        <v/>
      </c>
      <c r="AQ33" s="0" t="str">
        <f aca="false">'Test Cases'!AV33</f>
        <v>Kenosha</v>
      </c>
      <c r="AR33" s="0" t="str">
        <f aca="false">'Test Cases'!AW33</f>
        <v>WI</v>
      </c>
      <c r="AS33" s="0" t="str">
        <f aca="false">'Test Cases'!AX33</f>
        <v>53144</v>
      </c>
      <c r="AT33" s="0" t="str">
        <f aca="false">'Test Cases'!AY33</f>
        <v>US</v>
      </c>
      <c r="AU33" s="0" t="str">
        <f aca="false">'Test Cases'!AZ33</f>
        <v>APPOINTMENT</v>
      </c>
      <c r="AV33" s="0" t="str">
        <f aca="false">'Test Cases'!BA33</f>
        <v>2025-01-17T10:00:00Z</v>
      </c>
      <c r="AW33" s="0" t="str">
        <f aca="false">'Test Cases'!BB33</f>
        <v>2025-01-17T14:00:00Z</v>
      </c>
      <c r="AX33" s="0" t="str">
        <f aca="false">'Test Cases'!BC33</f>
        <v>2025-01-17T10:00:00Z</v>
      </c>
      <c r="AY33" s="0" t="str">
        <f aca="false">'Test Cases'!BD33</f>
        <v>2025-01-17T14:00:00Z</v>
      </c>
      <c r="AZ33" s="0" t="str">
        <f aca="false">'Test Cases'!BE33</f>
        <v>2025-01-17T10:00:00Z</v>
      </c>
      <c r="BA33" s="0" t="str">
        <f aca="false">'Test Cases'!BF33</f>
        <v>2025-01-17T10:30:00Z</v>
      </c>
      <c r="BB33" s="0" t="str">
        <f aca="false">IF(ISBLANK('Test Cases'!BG33),"",'Test Cases'!BG33)</f>
        <v/>
      </c>
    </row>
    <row r="34" customFormat="false" ht="15" hidden="false" customHeight="false" outlineLevel="0" collapsed="false">
      <c r="A34" s="0" t="str">
        <f aca="false">'Test Cases'!F34</f>
        <v>20251229-SHIP-033</v>
      </c>
      <c r="B34" s="0" t="str">
        <f aca="false">'Test Cases'!G34</f>
        <v>20251229-TNDR-033</v>
      </c>
      <c r="C34" s="0" t="str">
        <f aca="false">'Test Cases'!H34</f>
        <v>SHIPMENT</v>
      </c>
      <c r="D34" s="0" t="str">
        <f aca="false">'Test Cases'!I34</f>
        <v>COMPLETED</v>
      </c>
      <c r="E34" s="0" t="str">
        <f aca="false">'Test Cases'!J34</f>
        <v>SPOT</v>
      </c>
      <c r="F34" s="0" t="str">
        <f aca="false">'Test Cases'!K34</f>
        <v>TRUCKLOAD</v>
      </c>
      <c r="G34" s="0" t="str">
        <f aca="false">'Test Cases'!L34</f>
        <v>DRY_VAN</v>
      </c>
      <c r="H34" s="0" t="n">
        <f aca="false">'Test Cases'!M34</f>
        <v>500</v>
      </c>
      <c r="I34" s="0" t="str">
        <f aca="false">'Test Cases'!N34</f>
        <v>MILES</v>
      </c>
      <c r="J34" s="0" t="n">
        <f aca="false">'Test Cases'!O34</f>
        <v>40000</v>
      </c>
      <c r="K34" s="0" t="str">
        <f aca="false">'Test Cases'!P34</f>
        <v>LB</v>
      </c>
      <c r="L34" s="0" t="str">
        <f aca="false">'Test Cases'!Q34</f>
        <v>Test Carrier 1 Inc</v>
      </c>
      <c r="M34" s="0" t="str">
        <f aca="false">'Test Cases'!R34</f>
        <v>CAR1</v>
      </c>
      <c r="N34" s="0" t="str">
        <f aca="false">IF(ISBLANK('Test Cases'!S34),"",'Test Cases'!S34)</f>
        <v/>
      </c>
      <c r="O34" s="0" t="str">
        <f aca="false">IF(ISBLANK('Test Cases'!T34),"",'Test Cases'!T34)</f>
        <v/>
      </c>
      <c r="P34" s="0" t="str">
        <f aca="false">IF(ISBLANK('Test Cases'!U34),"",'Test Cases'!U34)</f>
        <v/>
      </c>
      <c r="Q34" s="0" t="n">
        <f aca="false">'Test Cases'!V34</f>
        <v>1</v>
      </c>
      <c r="R34" s="0" t="str">
        <f aca="false">'Test Cases'!W34</f>
        <v>PICKUP</v>
      </c>
      <c r="S34" s="0" t="str">
        <f aca="false">'Test Cases'!X34</f>
        <v>LIVE</v>
      </c>
      <c r="T34" s="0" t="str">
        <f aca="false">'Test Cases'!Y34</f>
        <v>Partial Address Test</v>
      </c>
      <c r="U34" s="0" t="str">
        <f aca="false">'Test Cases'!Z34</f>
        <v>PAT-001</v>
      </c>
      <c r="V34" s="0" t="str">
        <f aca="false">'Test Cases'!AA34</f>
        <v>Main Street</v>
      </c>
      <c r="W34" s="0" t="str">
        <f aca="false">IF(ISBLANK('Test Cases'!AB34),"",'Test Cases'!AB34)</f>
        <v/>
      </c>
      <c r="X34" s="0" t="str">
        <f aca="false">'Test Cases'!AC34</f>
        <v>Anytown</v>
      </c>
      <c r="Y34" s="0" t="str">
        <f aca="false">'Test Cases'!AD34</f>
        <v>CA</v>
      </c>
      <c r="Z34" s="0" t="str">
        <f aca="false">'Test Cases'!AE34</f>
        <v>90210</v>
      </c>
      <c r="AA34" s="0" t="str">
        <f aca="false">'Test Cases'!AF34</f>
        <v>US</v>
      </c>
      <c r="AB34" s="0" t="str">
        <f aca="false">'Test Cases'!AG34</f>
        <v>APPOINTMENT</v>
      </c>
      <c r="AC34" s="0" t="str">
        <f aca="false">'Test Cases'!AH34</f>
        <v>2025-01-15T08:00:00Z</v>
      </c>
      <c r="AD34" s="0" t="str">
        <f aca="false">'Test Cases'!AI34</f>
        <v>2025-01-15T10:00:00Z</v>
      </c>
      <c r="AE34" s="0" t="str">
        <f aca="false">'Test Cases'!AJ34</f>
        <v>2025-01-15T08:00:00Z</v>
      </c>
      <c r="AF34" s="0" t="str">
        <f aca="false">'Test Cases'!AK34</f>
        <v>2025-01-15T10:00:00Z</v>
      </c>
      <c r="AG34" s="0" t="str">
        <f aca="false">'Test Cases'!AL34</f>
        <v>2025-01-15T08:00:00Z</v>
      </c>
      <c r="AH34" s="0" t="str">
        <f aca="false">'Test Cases'!AM34</f>
        <v>2025-01-15T08:30:00Z</v>
      </c>
      <c r="AI34" s="0" t="str">
        <f aca="false">IF(ISBLANK('Test Cases'!AN34),"",'Test Cases'!AN34)</f>
        <v/>
      </c>
      <c r="AJ34" s="0" t="n">
        <f aca="false">'Test Cases'!AO34</f>
        <v>2</v>
      </c>
      <c r="AK34" s="0" t="str">
        <f aca="false">'Test Cases'!AP34</f>
        <v>DELIVERY</v>
      </c>
      <c r="AL34" s="0" t="str">
        <f aca="false">'Test Cases'!AQ34</f>
        <v>LIVE</v>
      </c>
      <c r="AM34" s="0" t="str">
        <f aca="false">'Test Cases'!AR34</f>
        <v>Amazon JAX1</v>
      </c>
      <c r="AN34" s="0" t="str">
        <f aca="false">'Test Cases'!AS34</f>
        <v>JAX1</v>
      </c>
      <c r="AO34" s="0" t="str">
        <f aca="false">'Test Cases'!AT34</f>
        <v>12900 Pecan Park Road</v>
      </c>
      <c r="AP34" s="0" t="str">
        <f aca="false">IF(ISBLANK('Test Cases'!AU34),"",'Test Cases'!AU34)</f>
        <v/>
      </c>
      <c r="AQ34" s="0" t="str">
        <f aca="false">'Test Cases'!AV34</f>
        <v>Jacksonville</v>
      </c>
      <c r="AR34" s="0" t="str">
        <f aca="false">'Test Cases'!AW34</f>
        <v>FL</v>
      </c>
      <c r="AS34" s="0" t="str">
        <f aca="false">'Test Cases'!AX34</f>
        <v>32218</v>
      </c>
      <c r="AT34" s="0" t="str">
        <f aca="false">'Test Cases'!AY34</f>
        <v>US</v>
      </c>
      <c r="AU34" s="0" t="str">
        <f aca="false">'Test Cases'!AZ34</f>
        <v>APPOINTMENT</v>
      </c>
      <c r="AV34" s="0" t="str">
        <f aca="false">'Test Cases'!BA34</f>
        <v>2025-01-17T10:00:00Z</v>
      </c>
      <c r="AW34" s="0" t="str">
        <f aca="false">'Test Cases'!BB34</f>
        <v>2025-01-17T14:00:00Z</v>
      </c>
      <c r="AX34" s="0" t="str">
        <f aca="false">'Test Cases'!BC34</f>
        <v>2025-01-17T10:00:00Z</v>
      </c>
      <c r="AY34" s="0" t="str">
        <f aca="false">'Test Cases'!BD34</f>
        <v>2025-01-17T14:00:00Z</v>
      </c>
      <c r="AZ34" s="0" t="str">
        <f aca="false">'Test Cases'!BE34</f>
        <v>2025-01-17T10:00:00Z</v>
      </c>
      <c r="BA34" s="0" t="str">
        <f aca="false">'Test Cases'!BF34</f>
        <v>2025-01-17T10:30:00Z</v>
      </c>
      <c r="BB34" s="0" t="str">
        <f aca="false">IF(ISBLANK('Test Cases'!BG34),"",'Test Cases'!BG34)</f>
        <v/>
      </c>
    </row>
    <row r="35" customFormat="false" ht="15" hidden="false" customHeight="false" outlineLevel="0" collapsed="false">
      <c r="A35" s="0" t="str">
        <f aca="false">'Test Cases'!F35</f>
        <v>20251229-SHIP-034</v>
      </c>
      <c r="B35" s="0" t="str">
        <f aca="false">'Test Cases'!G35</f>
        <v>20251229-TNDR-034</v>
      </c>
      <c r="C35" s="0" t="str">
        <f aca="false">'Test Cases'!H35</f>
        <v>SHIPMENT</v>
      </c>
      <c r="D35" s="0" t="str">
        <f aca="false">'Test Cases'!I35</f>
        <v>COMPLETED</v>
      </c>
      <c r="E35" s="0" t="str">
        <f aca="false">'Test Cases'!J35</f>
        <v>SPOT</v>
      </c>
      <c r="F35" s="0" t="str">
        <f aca="false">'Test Cases'!K35</f>
        <v>TRUCKLOAD</v>
      </c>
      <c r="G35" s="0" t="str">
        <f aca="false">'Test Cases'!L35</f>
        <v>DRY_VAN</v>
      </c>
      <c r="H35" s="0" t="n">
        <f aca="false">'Test Cases'!M35</f>
        <v>500</v>
      </c>
      <c r="I35" s="0" t="str">
        <f aca="false">'Test Cases'!N35</f>
        <v>MILES</v>
      </c>
      <c r="J35" s="0" t="n">
        <f aca="false">'Test Cases'!O35</f>
        <v>40000</v>
      </c>
      <c r="K35" s="0" t="str">
        <f aca="false">'Test Cases'!P35</f>
        <v>LB</v>
      </c>
      <c r="L35" s="0" t="str">
        <f aca="false">'Test Cases'!Q35</f>
        <v>Test Carrier 2 Inc</v>
      </c>
      <c r="M35" s="0" t="str">
        <f aca="false">'Test Cases'!R35</f>
        <v>CAR2</v>
      </c>
      <c r="N35" s="0" t="str">
        <f aca="false">IF(ISBLANK('Test Cases'!S35),"",'Test Cases'!S35)</f>
        <v/>
      </c>
      <c r="O35" s="0" t="str">
        <f aca="false">IF(ISBLANK('Test Cases'!T35),"",'Test Cases'!T35)</f>
        <v/>
      </c>
      <c r="P35" s="0" t="str">
        <f aca="false">IF(ISBLANK('Test Cases'!U35),"",'Test Cases'!U35)</f>
        <v/>
      </c>
      <c r="Q35" s="0" t="n">
        <f aca="false">'Test Cases'!V35</f>
        <v>1</v>
      </c>
      <c r="R35" s="0" t="str">
        <f aca="false">'Test Cases'!W35</f>
        <v>PICKUP</v>
      </c>
      <c r="S35" s="0" t="str">
        <f aca="false">'Test Cases'!X35</f>
        <v>LIVE</v>
      </c>
      <c r="T35" s="0" t="str">
        <f aca="false">'Test Cases'!Y35</f>
        <v>Phoenix Crossdock</v>
      </c>
      <c r="U35" s="0" t="str">
        <f aca="false">'Test Cases'!Z35</f>
        <v>PHX-CD</v>
      </c>
      <c r="V35" s="0" t="str">
        <f aca="false">'Test Cases'!AA35</f>
        <v>2700 S 24th St</v>
      </c>
      <c r="W35" s="0" t="str">
        <f aca="false">IF(ISBLANK('Test Cases'!AB35),"",'Test Cases'!AB35)</f>
        <v/>
      </c>
      <c r="X35" s="0" t="str">
        <f aca="false">'Test Cases'!AC35</f>
        <v>Phoenix</v>
      </c>
      <c r="Y35" s="0" t="str">
        <f aca="false">'Test Cases'!AD35</f>
        <v>AZ</v>
      </c>
      <c r="Z35" s="0" t="str">
        <f aca="false">'Test Cases'!AE35</f>
        <v>85034</v>
      </c>
      <c r="AA35" s="0" t="str">
        <f aca="false">'Test Cases'!AF35</f>
        <v>US</v>
      </c>
      <c r="AB35" s="0" t="str">
        <f aca="false">'Test Cases'!AG35</f>
        <v>APPOINTMENT</v>
      </c>
      <c r="AC35" s="0" t="str">
        <f aca="false">'Test Cases'!AH35</f>
        <v>2025-01-15T08:00:00Z</v>
      </c>
      <c r="AD35" s="0" t="str">
        <f aca="false">'Test Cases'!AI35</f>
        <v>2025-01-15T10:00:00Z</v>
      </c>
      <c r="AE35" s="0" t="str">
        <f aca="false">'Test Cases'!AJ35</f>
        <v>2025-01-15T08:00:00Z</v>
      </c>
      <c r="AF35" s="0" t="str">
        <f aca="false">'Test Cases'!AK35</f>
        <v>2025-01-15T10:00:00Z</v>
      </c>
      <c r="AG35" s="0" t="str">
        <f aca="false">'Test Cases'!AL35</f>
        <v>2025-01-15T08:00:00Z</v>
      </c>
      <c r="AH35" s="0" t="str">
        <f aca="false">'Test Cases'!AM35</f>
        <v>2025-01-15T08:30:00Z</v>
      </c>
      <c r="AI35" s="0" t="str">
        <f aca="false">IF(ISBLANK('Test Cases'!AN35),"",'Test Cases'!AN35)</f>
        <v/>
      </c>
      <c r="AJ35" s="0" t="n">
        <f aca="false">'Test Cases'!AO35</f>
        <v>2</v>
      </c>
      <c r="AK35" s="0" t="str">
        <f aca="false">'Test Cases'!AP35</f>
        <v>DELIVERY</v>
      </c>
      <c r="AL35" s="0" t="str">
        <f aca="false">'Test Cases'!AQ35</f>
        <v>LIVE</v>
      </c>
      <c r="AM35" s="0" t="str">
        <f aca="false">'Test Cases'!AR35</f>
        <v>Tucson Distribution</v>
      </c>
      <c r="AN35" s="0" t="str">
        <f aca="false">'Test Cases'!AS35</f>
        <v>TUS-DC</v>
      </c>
      <c r="AO35" s="0" t="str">
        <f aca="false">'Test Cases'!AT35</f>
        <v>7200 Commerce Blvd</v>
      </c>
      <c r="AP35" s="0" t="str">
        <f aca="false">IF(ISBLANK('Test Cases'!AU35),"",'Test Cases'!AU35)</f>
        <v/>
      </c>
      <c r="AQ35" s="0" t="str">
        <f aca="false">'Test Cases'!AV35</f>
        <v>Tucson</v>
      </c>
      <c r="AR35" s="0" t="str">
        <f aca="false">'Test Cases'!AW35</f>
        <v>AZ</v>
      </c>
      <c r="AS35" s="0" t="str">
        <f aca="false">'Test Cases'!AX35</f>
        <v>85713</v>
      </c>
      <c r="AT35" s="0" t="str">
        <f aca="false">'Test Cases'!AY35</f>
        <v>US</v>
      </c>
      <c r="AU35" s="0" t="str">
        <f aca="false">'Test Cases'!AZ35</f>
        <v>APPOINTMENT</v>
      </c>
      <c r="AV35" s="0" t="str">
        <f aca="false">'Test Cases'!BA35</f>
        <v>2025-01-17T10:00:00Z</v>
      </c>
      <c r="AW35" s="0" t="str">
        <f aca="false">'Test Cases'!BB35</f>
        <v>2025-01-17T14:00:00Z</v>
      </c>
      <c r="AX35" s="0" t="str">
        <f aca="false">'Test Cases'!BC35</f>
        <v>2025-01-17T10:00:00Z</v>
      </c>
      <c r="AY35" s="0" t="str">
        <f aca="false">'Test Cases'!BD35</f>
        <v>2025-01-17T14:00:00Z</v>
      </c>
      <c r="AZ35" s="0" t="str">
        <f aca="false">'Test Cases'!BE35</f>
        <v>2025-01-17T10:00:00Z</v>
      </c>
      <c r="BA35" s="0" t="str">
        <f aca="false">'Test Cases'!BF35</f>
        <v>2025-01-17T10:30:00Z</v>
      </c>
      <c r="BB35" s="0" t="str">
        <f aca="false">IF(ISBLANK('Test Cases'!BG35),"",'Test Cases'!BG35)</f>
        <v/>
      </c>
    </row>
    <row r="36" customFormat="false" ht="15" hidden="false" customHeight="false" outlineLevel="0" collapsed="false">
      <c r="A36" s="0" t="str">
        <f aca="false">'Test Cases'!F36</f>
        <v>20251229-SHIP-035</v>
      </c>
      <c r="B36" s="0" t="str">
        <f aca="false">'Test Cases'!G36</f>
        <v>20251229-TNDR-035</v>
      </c>
      <c r="C36" s="0" t="str">
        <f aca="false">'Test Cases'!H36</f>
        <v>SHIPMENT</v>
      </c>
      <c r="D36" s="0" t="str">
        <f aca="false">'Test Cases'!I36</f>
        <v>COMPLETED</v>
      </c>
      <c r="E36" s="0" t="str">
        <f aca="false">'Test Cases'!J36</f>
        <v>SPOT</v>
      </c>
      <c r="F36" s="0" t="str">
        <f aca="false">'Test Cases'!K36</f>
        <v>TRUCKLOAD</v>
      </c>
      <c r="G36" s="0" t="str">
        <f aca="false">'Test Cases'!L36</f>
        <v>DRY_VAN</v>
      </c>
      <c r="H36" s="0" t="n">
        <f aca="false">'Test Cases'!M36</f>
        <v>500</v>
      </c>
      <c r="I36" s="0" t="str">
        <f aca="false">'Test Cases'!N36</f>
        <v>MILES</v>
      </c>
      <c r="J36" s="0" t="n">
        <f aca="false">'Test Cases'!O36</f>
        <v>40000</v>
      </c>
      <c r="K36" s="0" t="str">
        <f aca="false">'Test Cases'!P36</f>
        <v>LB</v>
      </c>
      <c r="L36" s="0" t="str">
        <f aca="false">'Test Cases'!Q36</f>
        <v>Test Carrier 1 Inc</v>
      </c>
      <c r="M36" s="0" t="str">
        <f aca="false">'Test Cases'!R36</f>
        <v>CAR1</v>
      </c>
      <c r="N36" s="0" t="str">
        <f aca="false">IF(ISBLANK('Test Cases'!S36),"",'Test Cases'!S36)</f>
        <v/>
      </c>
      <c r="O36" s="0" t="str">
        <f aca="false">IF(ISBLANK('Test Cases'!T36),"",'Test Cases'!T36)</f>
        <v/>
      </c>
      <c r="P36" s="0" t="str">
        <f aca="false">IF(ISBLANK('Test Cases'!U36),"",'Test Cases'!U36)</f>
        <v/>
      </c>
      <c r="Q36" s="0" t="n">
        <f aca="false">'Test Cases'!V36</f>
        <v>1</v>
      </c>
      <c r="R36" s="0" t="str">
        <f aca="false">'Test Cases'!W36</f>
        <v>PICKUP</v>
      </c>
      <c r="S36" s="0" t="str">
        <f aca="false">'Test Cases'!X36</f>
        <v>LIVE</v>
      </c>
      <c r="T36" s="0" t="str">
        <f aca="false">'Test Cases'!Y36</f>
        <v>Schneider Phoenix</v>
      </c>
      <c r="U36" s="0" t="str">
        <f aca="false">'Test Cases'!Z36</f>
        <v>SCH-PHX</v>
      </c>
      <c r="V36" s="0" t="str">
        <f aca="false">'Test Cases'!AA36</f>
        <v>2700 S 24th St</v>
      </c>
      <c r="W36" s="0" t="str">
        <f aca="false">IF(ISBLANK('Test Cases'!AB36),"",'Test Cases'!AB36)</f>
        <v/>
      </c>
      <c r="X36" s="0" t="str">
        <f aca="false">'Test Cases'!AC36</f>
        <v>Phoenix</v>
      </c>
      <c r="Y36" s="0" t="str">
        <f aca="false">'Test Cases'!AD36</f>
        <v>AZ</v>
      </c>
      <c r="Z36" s="0" t="str">
        <f aca="false">'Test Cases'!AE36</f>
        <v>85034</v>
      </c>
      <c r="AA36" s="0" t="str">
        <f aca="false">'Test Cases'!AF36</f>
        <v>US</v>
      </c>
      <c r="AB36" s="0" t="str">
        <f aca="false">'Test Cases'!AG36</f>
        <v>APPOINTMENT</v>
      </c>
      <c r="AC36" s="0" t="str">
        <f aca="false">'Test Cases'!AH36</f>
        <v>2025-01-15T08:00:00Z</v>
      </c>
      <c r="AD36" s="0" t="str">
        <f aca="false">'Test Cases'!AI36</f>
        <v>2025-01-15T10:00:00Z</v>
      </c>
      <c r="AE36" s="0" t="str">
        <f aca="false">'Test Cases'!AJ36</f>
        <v>2025-01-15T08:00:00Z</v>
      </c>
      <c r="AF36" s="0" t="str">
        <f aca="false">'Test Cases'!AK36</f>
        <v>2025-01-15T10:00:00Z</v>
      </c>
      <c r="AG36" s="0" t="str">
        <f aca="false">'Test Cases'!AL36</f>
        <v>2025-01-15T08:00:00Z</v>
      </c>
      <c r="AH36" s="0" t="str">
        <f aca="false">'Test Cases'!AM36</f>
        <v>2025-01-15T08:30:00Z</v>
      </c>
      <c r="AI36" s="0" t="str">
        <f aca="false">IF(ISBLANK('Test Cases'!AN36),"",'Test Cases'!AN36)</f>
        <v/>
      </c>
      <c r="AJ36" s="0" t="n">
        <f aca="false">'Test Cases'!AO36</f>
        <v>2</v>
      </c>
      <c r="AK36" s="0" t="str">
        <f aca="false">'Test Cases'!AP36</f>
        <v>DELIVERY</v>
      </c>
      <c r="AL36" s="0" t="str">
        <f aca="false">'Test Cases'!AQ36</f>
        <v>LIVE</v>
      </c>
      <c r="AM36" s="0" t="str">
        <f aca="false">'Test Cases'!AR36</f>
        <v>LA Port Terminal</v>
      </c>
      <c r="AN36" s="0" t="str">
        <f aca="false">'Test Cases'!AS36</f>
        <v>LAX-PT</v>
      </c>
      <c r="AO36" s="0" t="str">
        <f aca="false">'Test Cases'!AT36</f>
        <v>300 E Ocean Blvd</v>
      </c>
      <c r="AP36" s="0" t="str">
        <f aca="false">IF(ISBLANK('Test Cases'!AU36),"",'Test Cases'!AU36)</f>
        <v/>
      </c>
      <c r="AQ36" s="0" t="str">
        <f aca="false">'Test Cases'!AV36</f>
        <v>Long Beach</v>
      </c>
      <c r="AR36" s="0" t="str">
        <f aca="false">'Test Cases'!AW36</f>
        <v>CA</v>
      </c>
      <c r="AS36" s="0" t="str">
        <f aca="false">'Test Cases'!AX36</f>
        <v>90802</v>
      </c>
      <c r="AT36" s="0" t="str">
        <f aca="false">'Test Cases'!AY36</f>
        <v>US</v>
      </c>
      <c r="AU36" s="0" t="str">
        <f aca="false">'Test Cases'!AZ36</f>
        <v>APPOINTMENT</v>
      </c>
      <c r="AV36" s="0" t="str">
        <f aca="false">'Test Cases'!BA36</f>
        <v>2025-01-17T10:00:00Z</v>
      </c>
      <c r="AW36" s="0" t="str">
        <f aca="false">'Test Cases'!BB36</f>
        <v>2025-01-17T14:00:00Z</v>
      </c>
      <c r="AX36" s="0" t="str">
        <f aca="false">'Test Cases'!BC36</f>
        <v>2025-01-17T10:00:00Z</v>
      </c>
      <c r="AY36" s="0" t="str">
        <f aca="false">'Test Cases'!BD36</f>
        <v>2025-01-17T14:00:00Z</v>
      </c>
      <c r="AZ36" s="0" t="str">
        <f aca="false">'Test Cases'!BE36</f>
        <v>2025-01-17T10:00:00Z</v>
      </c>
      <c r="BA36" s="0" t="str">
        <f aca="false">'Test Cases'!BF36</f>
        <v>2025-01-17T10:30:00Z</v>
      </c>
      <c r="BB36" s="0" t="str">
        <f aca="false">IF(ISBLANK('Test Cases'!BG36),"",'Test Cases'!BG36)</f>
        <v/>
      </c>
    </row>
    <row r="37" customFormat="false" ht="15" hidden="false" customHeight="false" outlineLevel="0" collapsed="false">
      <c r="A37" s="0" t="str">
        <f aca="false">'Test Cases'!F37</f>
        <v>20251229-SHIP-036</v>
      </c>
      <c r="B37" s="0" t="str">
        <f aca="false">'Test Cases'!G37</f>
        <v>20251229-TNDR-036</v>
      </c>
      <c r="C37" s="0" t="str">
        <f aca="false">'Test Cases'!H37</f>
        <v>SHIPMENT</v>
      </c>
      <c r="D37" s="0" t="str">
        <f aca="false">'Test Cases'!I37</f>
        <v>COMPLETED</v>
      </c>
      <c r="E37" s="0" t="str">
        <f aca="false">'Test Cases'!J37</f>
        <v>SPOT</v>
      </c>
      <c r="F37" s="0" t="str">
        <f aca="false">'Test Cases'!K37</f>
        <v>TRUCKLOAD</v>
      </c>
      <c r="G37" s="0" t="str">
        <f aca="false">'Test Cases'!L37</f>
        <v>DRY_VAN</v>
      </c>
      <c r="H37" s="0" t="n">
        <f aca="false">'Test Cases'!M37</f>
        <v>500</v>
      </c>
      <c r="I37" s="0" t="str">
        <f aca="false">'Test Cases'!N37</f>
        <v>MILES</v>
      </c>
      <c r="J37" s="0" t="n">
        <f aca="false">'Test Cases'!O37</f>
        <v>40000</v>
      </c>
      <c r="K37" s="0" t="str">
        <f aca="false">'Test Cases'!P37</f>
        <v>LB</v>
      </c>
      <c r="L37" s="0" t="str">
        <f aca="false">'Test Cases'!Q37</f>
        <v>Test Carrier 2 Inc</v>
      </c>
      <c r="M37" s="0" t="str">
        <f aca="false">'Test Cases'!R37</f>
        <v>CAR2</v>
      </c>
      <c r="N37" s="0" t="str">
        <f aca="false">IF(ISBLANK('Test Cases'!S37),"",'Test Cases'!S37)</f>
        <v/>
      </c>
      <c r="O37" s="0" t="str">
        <f aca="false">IF(ISBLANK('Test Cases'!T37),"",'Test Cases'!T37)</f>
        <v/>
      </c>
      <c r="P37" s="0" t="str">
        <f aca="false">IF(ISBLANK('Test Cases'!U37),"",'Test Cases'!U37)</f>
        <v/>
      </c>
      <c r="Q37" s="0" t="n">
        <f aca="false">'Test Cases'!V37</f>
        <v>1</v>
      </c>
      <c r="R37" s="0" t="str">
        <f aca="false">'Test Cases'!W37</f>
        <v>PICKUP</v>
      </c>
      <c r="S37" s="0" t="str">
        <f aca="false">'Test Cases'!X37</f>
        <v>LIVE</v>
      </c>
      <c r="T37" s="0" t="str">
        <f aca="false">'Test Cases'!Y37</f>
        <v>AZ Central Hub</v>
      </c>
      <c r="U37" s="0" t="str">
        <f aca="false">'Test Cases'!Z37</f>
        <v>AZ-HUB</v>
      </c>
      <c r="V37" s="0" t="str">
        <f aca="false">'Test Cases'!AA37</f>
        <v>2700 S 24th St</v>
      </c>
      <c r="W37" s="0" t="str">
        <f aca="false">IF(ISBLANK('Test Cases'!AB37),"",'Test Cases'!AB37)</f>
        <v/>
      </c>
      <c r="X37" s="0" t="str">
        <f aca="false">'Test Cases'!AC37</f>
        <v>Phoenix</v>
      </c>
      <c r="Y37" s="0" t="str">
        <f aca="false">'Test Cases'!AD37</f>
        <v>AZ</v>
      </c>
      <c r="Z37" s="0" t="str">
        <f aca="false">'Test Cases'!AE37</f>
        <v>85034</v>
      </c>
      <c r="AA37" s="0" t="str">
        <f aca="false">'Test Cases'!AF37</f>
        <v>US</v>
      </c>
      <c r="AB37" s="0" t="str">
        <f aca="false">'Test Cases'!AG37</f>
        <v>APPOINTMENT</v>
      </c>
      <c r="AC37" s="0" t="str">
        <f aca="false">'Test Cases'!AH37</f>
        <v>2025-01-15T08:00:00Z</v>
      </c>
      <c r="AD37" s="0" t="str">
        <f aca="false">'Test Cases'!AI37</f>
        <v>2025-01-15T10:00:00Z</v>
      </c>
      <c r="AE37" s="0" t="str">
        <f aca="false">'Test Cases'!AJ37</f>
        <v>2025-01-15T08:00:00Z</v>
      </c>
      <c r="AF37" s="0" t="str">
        <f aca="false">'Test Cases'!AK37</f>
        <v>2025-01-15T10:00:00Z</v>
      </c>
      <c r="AG37" s="0" t="str">
        <f aca="false">'Test Cases'!AL37</f>
        <v>2025-01-15T08:00:00Z</v>
      </c>
      <c r="AH37" s="0" t="str">
        <f aca="false">'Test Cases'!AM37</f>
        <v>2025-01-15T08:30:00Z</v>
      </c>
      <c r="AI37" s="0" t="str">
        <f aca="false">IF(ISBLANK('Test Cases'!AN37),"",'Test Cases'!AN37)</f>
        <v/>
      </c>
      <c r="AJ37" s="0" t="n">
        <f aca="false">'Test Cases'!AO37</f>
        <v>2</v>
      </c>
      <c r="AK37" s="0" t="str">
        <f aca="false">'Test Cases'!AP37</f>
        <v>DELIVERY</v>
      </c>
      <c r="AL37" s="0" t="str">
        <f aca="false">'Test Cases'!AQ37</f>
        <v>LIVE</v>
      </c>
      <c r="AM37" s="0" t="str">
        <f aca="false">'Test Cases'!AR37</f>
        <v>Riverside DC</v>
      </c>
      <c r="AN37" s="0" t="str">
        <f aca="false">'Test Cases'!AS37</f>
        <v>RIV-DC</v>
      </c>
      <c r="AO37" s="0" t="str">
        <f aca="false">'Test Cases'!AT37</f>
        <v>7177 Jurupa Ave</v>
      </c>
      <c r="AP37" s="0" t="str">
        <f aca="false">IF(ISBLANK('Test Cases'!AU37),"",'Test Cases'!AU37)</f>
        <v/>
      </c>
      <c r="AQ37" s="0" t="str">
        <f aca="false">'Test Cases'!AV37</f>
        <v>Riverside</v>
      </c>
      <c r="AR37" s="0" t="str">
        <f aca="false">'Test Cases'!AW37</f>
        <v>CA</v>
      </c>
      <c r="AS37" s="0" t="str">
        <f aca="false">'Test Cases'!AX37</f>
        <v>92504</v>
      </c>
      <c r="AT37" s="0" t="str">
        <f aca="false">'Test Cases'!AY37</f>
        <v>US</v>
      </c>
      <c r="AU37" s="0" t="str">
        <f aca="false">'Test Cases'!AZ37</f>
        <v>APPOINTMENT</v>
      </c>
      <c r="AV37" s="0" t="str">
        <f aca="false">'Test Cases'!BA37</f>
        <v>2025-01-17T10:00:00Z</v>
      </c>
      <c r="AW37" s="0" t="str">
        <f aca="false">'Test Cases'!BB37</f>
        <v>2025-01-17T14:00:00Z</v>
      </c>
      <c r="AX37" s="0" t="str">
        <f aca="false">'Test Cases'!BC37</f>
        <v>2025-01-17T10:00:00Z</v>
      </c>
      <c r="AY37" s="0" t="str">
        <f aca="false">'Test Cases'!BD37</f>
        <v>2025-01-17T14:00:00Z</v>
      </c>
      <c r="AZ37" s="0" t="str">
        <f aca="false">'Test Cases'!BE37</f>
        <v>2025-01-17T10:00:00Z</v>
      </c>
      <c r="BA37" s="0" t="str">
        <f aca="false">'Test Cases'!BF37</f>
        <v>2025-01-17T10:30:00Z</v>
      </c>
      <c r="BB37" s="0" t="str">
        <f aca="false">IF(ISBLANK('Test Cases'!BG37),"",'Test Cases'!BG37)</f>
        <v/>
      </c>
    </row>
    <row r="38" customFormat="false" ht="15" hidden="false" customHeight="false" outlineLevel="0" collapsed="false">
      <c r="A38" s="0" t="str">
        <f aca="false">'Test Cases'!F38</f>
        <v>20251229-SHIP-037</v>
      </c>
      <c r="B38" s="0" t="str">
        <f aca="false">'Test Cases'!G38</f>
        <v>20251229-TNDR-037</v>
      </c>
      <c r="C38" s="0" t="str">
        <f aca="false">'Test Cases'!H38</f>
        <v>SHIPMENT</v>
      </c>
      <c r="D38" s="0" t="str">
        <f aca="false">'Test Cases'!I38</f>
        <v>COMPLETED</v>
      </c>
      <c r="E38" s="0" t="str">
        <f aca="false">'Test Cases'!J38</f>
        <v>SPOT</v>
      </c>
      <c r="F38" s="0" t="str">
        <f aca="false">'Test Cases'!K38</f>
        <v>TRUCKLOAD</v>
      </c>
      <c r="G38" s="0" t="str">
        <f aca="false">'Test Cases'!L38</f>
        <v>DRY_VAN</v>
      </c>
      <c r="H38" s="0" t="n">
        <f aca="false">'Test Cases'!M38</f>
        <v>500</v>
      </c>
      <c r="I38" s="0" t="str">
        <f aca="false">'Test Cases'!N38</f>
        <v>MILES</v>
      </c>
      <c r="J38" s="0" t="n">
        <f aca="false">'Test Cases'!O38</f>
        <v>40000</v>
      </c>
      <c r="K38" s="0" t="str">
        <f aca="false">'Test Cases'!P38</f>
        <v>LB</v>
      </c>
      <c r="L38" s="0" t="str">
        <f aca="false">'Test Cases'!Q38</f>
        <v>Test Carrier 1 Inc</v>
      </c>
      <c r="M38" s="0" t="str">
        <f aca="false">'Test Cases'!R38</f>
        <v>CAR1</v>
      </c>
      <c r="N38" s="0" t="str">
        <f aca="false">IF(ISBLANK('Test Cases'!S38),"",'Test Cases'!S38)</f>
        <v/>
      </c>
      <c r="O38" s="0" t="str">
        <f aca="false">IF(ISBLANK('Test Cases'!T38),"",'Test Cases'!T38)</f>
        <v/>
      </c>
      <c r="P38" s="0" t="str">
        <f aca="false">IF(ISBLANK('Test Cases'!U38),"",'Test Cases'!U38)</f>
        <v/>
      </c>
      <c r="Q38" s="0" t="n">
        <f aca="false">'Test Cases'!V38</f>
        <v>1</v>
      </c>
      <c r="R38" s="0" t="str">
        <f aca="false">'Test Cases'!W38</f>
        <v>PICKUP</v>
      </c>
      <c r="S38" s="0" t="str">
        <f aca="false">'Test Cases'!X38</f>
        <v>LIVE</v>
      </c>
      <c r="T38" s="0" t="str">
        <f aca="false">'Test Cases'!Y38</f>
        <v>Amazon EWR7</v>
      </c>
      <c r="U38" s="0" t="str">
        <f aca="false">'Test Cases'!Z38</f>
        <v>EWR7</v>
      </c>
      <c r="V38" s="0" t="str">
        <f aca="false">'Test Cases'!AA38</f>
        <v>275 Omar Avenue</v>
      </c>
      <c r="W38" s="0" t="str">
        <f aca="false">IF(ISBLANK('Test Cases'!AB38),"",'Test Cases'!AB38)</f>
        <v/>
      </c>
      <c r="X38" s="0" t="str">
        <f aca="false">'Test Cases'!AC38</f>
        <v>Avenel</v>
      </c>
      <c r="Y38" s="0" t="str">
        <f aca="false">'Test Cases'!AD38</f>
        <v>NJ</v>
      </c>
      <c r="Z38" s="0" t="str">
        <f aca="false">'Test Cases'!AE38</f>
        <v>07001</v>
      </c>
      <c r="AA38" s="0" t="str">
        <f aca="false">'Test Cases'!AF38</f>
        <v>US</v>
      </c>
      <c r="AB38" s="0" t="str">
        <f aca="false">'Test Cases'!AG38</f>
        <v>APPOINTMENT</v>
      </c>
      <c r="AC38" s="0" t="str">
        <f aca="false">'Test Cases'!AH38</f>
        <v>2025-01-15T08:00:00Z</v>
      </c>
      <c r="AD38" s="0" t="str">
        <f aca="false">'Test Cases'!AI38</f>
        <v>2025-01-15T10:00:00Z</v>
      </c>
      <c r="AE38" s="0" t="str">
        <f aca="false">'Test Cases'!AJ38</f>
        <v>2025-01-15T08:00:00Z</v>
      </c>
      <c r="AF38" s="0" t="str">
        <f aca="false">'Test Cases'!AK38</f>
        <v>2025-01-15T10:00:00Z</v>
      </c>
      <c r="AG38" s="0" t="str">
        <f aca="false">'Test Cases'!AL38</f>
        <v>2025-01-15T08:00:00Z</v>
      </c>
      <c r="AH38" s="0" t="str">
        <f aca="false">'Test Cases'!AM38</f>
        <v>2025-01-15T08:30:00Z</v>
      </c>
      <c r="AI38" s="0" t="str">
        <f aca="false">IF(ISBLANK('Test Cases'!AN38),"",'Test Cases'!AN38)</f>
        <v/>
      </c>
      <c r="AJ38" s="0" t="n">
        <f aca="false">'Test Cases'!AO38</f>
        <v>2</v>
      </c>
      <c r="AK38" s="0" t="str">
        <f aca="false">'Test Cases'!AP38</f>
        <v>DELIVERY</v>
      </c>
      <c r="AL38" s="0" t="str">
        <f aca="false">'Test Cases'!AQ38</f>
        <v>LIVE</v>
      </c>
      <c r="AM38" s="0" t="str">
        <f aca="false">'Test Cases'!AR38</f>
        <v>Philadelphia DC</v>
      </c>
      <c r="AN38" s="0" t="str">
        <f aca="false">'Test Cases'!AS38</f>
        <v>PHL-DC</v>
      </c>
      <c r="AO38" s="0" t="str">
        <f aca="false">'Test Cases'!AT38</f>
        <v>4219 Richmond Street</v>
      </c>
      <c r="AP38" s="0" t="str">
        <f aca="false">IF(ISBLANK('Test Cases'!AU38),"",'Test Cases'!AU38)</f>
        <v/>
      </c>
      <c r="AQ38" s="0" t="str">
        <f aca="false">'Test Cases'!AV38</f>
        <v>Philadelphia</v>
      </c>
      <c r="AR38" s="0" t="str">
        <f aca="false">'Test Cases'!AW38</f>
        <v>PA</v>
      </c>
      <c r="AS38" s="0" t="str">
        <f aca="false">'Test Cases'!AX38</f>
        <v>19137</v>
      </c>
      <c r="AT38" s="0" t="str">
        <f aca="false">'Test Cases'!AY38</f>
        <v>US</v>
      </c>
      <c r="AU38" s="0" t="str">
        <f aca="false">'Test Cases'!AZ38</f>
        <v>APPOINTMENT</v>
      </c>
      <c r="AV38" s="0" t="str">
        <f aca="false">'Test Cases'!BA38</f>
        <v>2025-01-17T10:00:00Z</v>
      </c>
      <c r="AW38" s="0" t="str">
        <f aca="false">'Test Cases'!BB38</f>
        <v>2025-01-17T14:00:00Z</v>
      </c>
      <c r="AX38" s="0" t="str">
        <f aca="false">'Test Cases'!BC38</f>
        <v>2025-01-17T10:00:00Z</v>
      </c>
      <c r="AY38" s="0" t="str">
        <f aca="false">'Test Cases'!BD38</f>
        <v>2025-01-17T14:00:00Z</v>
      </c>
      <c r="AZ38" s="0" t="str">
        <f aca="false">'Test Cases'!BE38</f>
        <v>2025-01-17T10:00:00Z</v>
      </c>
      <c r="BA38" s="0" t="str">
        <f aca="false">'Test Cases'!BF38</f>
        <v>2025-01-17T10:30:00Z</v>
      </c>
      <c r="BB38" s="0" t="str">
        <f aca="false">IF(ISBLANK('Test Cases'!BG38),"",'Test Cases'!BG38)</f>
        <v/>
      </c>
    </row>
    <row r="39" customFormat="false" ht="15" hidden="false" customHeight="false" outlineLevel="0" collapsed="false">
      <c r="A39" s="0" t="str">
        <f aca="false">'Test Cases'!F39</f>
        <v>20251229-SHIP-038</v>
      </c>
      <c r="B39" s="0" t="str">
        <f aca="false">'Test Cases'!G39</f>
        <v>20251229-TNDR-038</v>
      </c>
      <c r="C39" s="0" t="str">
        <f aca="false">'Test Cases'!H39</f>
        <v>SHIPMENT</v>
      </c>
      <c r="D39" s="0" t="str">
        <f aca="false">'Test Cases'!I39</f>
        <v>COMPLETED</v>
      </c>
      <c r="E39" s="0" t="str">
        <f aca="false">'Test Cases'!J39</f>
        <v>SPOT</v>
      </c>
      <c r="F39" s="0" t="str">
        <f aca="false">'Test Cases'!K39</f>
        <v>TRUCKLOAD</v>
      </c>
      <c r="G39" s="0" t="str">
        <f aca="false">'Test Cases'!L39</f>
        <v>DRY_VAN</v>
      </c>
      <c r="H39" s="0" t="n">
        <f aca="false">'Test Cases'!M39</f>
        <v>500</v>
      </c>
      <c r="I39" s="0" t="str">
        <f aca="false">'Test Cases'!N39</f>
        <v>MILES</v>
      </c>
      <c r="J39" s="0" t="n">
        <f aca="false">'Test Cases'!O39</f>
        <v>40000</v>
      </c>
      <c r="K39" s="0" t="str">
        <f aca="false">'Test Cases'!P39</f>
        <v>LB</v>
      </c>
      <c r="L39" s="0" t="str">
        <f aca="false">'Test Cases'!Q39</f>
        <v>Test Carrier 2 Inc</v>
      </c>
      <c r="M39" s="0" t="str">
        <f aca="false">'Test Cases'!R39</f>
        <v>CAR2</v>
      </c>
      <c r="N39" s="0" t="str">
        <f aca="false">IF(ISBLANK('Test Cases'!S39),"",'Test Cases'!S39)</f>
        <v/>
      </c>
      <c r="O39" s="0" t="str">
        <f aca="false">IF(ISBLANK('Test Cases'!T39),"",'Test Cases'!T39)</f>
        <v/>
      </c>
      <c r="P39" s="0" t="str">
        <f aca="false">IF(ISBLANK('Test Cases'!U39),"",'Test Cases'!U39)</f>
        <v/>
      </c>
      <c r="Q39" s="0" t="n">
        <f aca="false">'Test Cases'!V39</f>
        <v>1</v>
      </c>
      <c r="R39" s="0" t="str">
        <f aca="false">'Test Cases'!W39</f>
        <v>PICKUP</v>
      </c>
      <c r="S39" s="0" t="str">
        <f aca="false">'Test Cases'!X39</f>
        <v>LIVE</v>
      </c>
      <c r="T39" s="0" t="str">
        <f aca="false">'Test Cases'!Y39</f>
        <v>Jacksonville Hub</v>
      </c>
      <c r="U39" s="0" t="str">
        <f aca="false">'Test Cases'!Z39</f>
        <v>JAX-HUB</v>
      </c>
      <c r="V39" s="0" t="str">
        <f aca="false">'Test Cases'!AA39</f>
        <v>12900 Pecan Park Road</v>
      </c>
      <c r="W39" s="0" t="str">
        <f aca="false">IF(ISBLANK('Test Cases'!AB39),"",'Test Cases'!AB39)</f>
        <v/>
      </c>
      <c r="X39" s="0" t="str">
        <f aca="false">'Test Cases'!AC39</f>
        <v>Jacksonville</v>
      </c>
      <c r="Y39" s="0" t="str">
        <f aca="false">'Test Cases'!AD39</f>
        <v>FL</v>
      </c>
      <c r="Z39" s="0" t="str">
        <f aca="false">'Test Cases'!AE39</f>
        <v>32218</v>
      </c>
      <c r="AA39" s="0" t="str">
        <f aca="false">'Test Cases'!AF39</f>
        <v>US</v>
      </c>
      <c r="AB39" s="0" t="str">
        <f aca="false">'Test Cases'!AG39</f>
        <v>APPOINTMENT</v>
      </c>
      <c r="AC39" s="0" t="str">
        <f aca="false">'Test Cases'!AH39</f>
        <v>2025-01-15T08:00:00Z</v>
      </c>
      <c r="AD39" s="0" t="str">
        <f aca="false">'Test Cases'!AI39</f>
        <v>2025-01-15T10:00:00Z</v>
      </c>
      <c r="AE39" s="0" t="str">
        <f aca="false">'Test Cases'!AJ39</f>
        <v>2025-01-15T08:00:00Z</v>
      </c>
      <c r="AF39" s="0" t="str">
        <f aca="false">'Test Cases'!AK39</f>
        <v>2025-01-15T10:00:00Z</v>
      </c>
      <c r="AG39" s="0" t="str">
        <f aca="false">'Test Cases'!AL39</f>
        <v>2025-01-15T08:00:00Z</v>
      </c>
      <c r="AH39" s="0" t="str">
        <f aca="false">'Test Cases'!AM39</f>
        <v>2025-01-15T08:30:00Z</v>
      </c>
      <c r="AI39" s="0" t="str">
        <f aca="false">IF(ISBLANK('Test Cases'!AN39),"",'Test Cases'!AN39)</f>
        <v/>
      </c>
      <c r="AJ39" s="0" t="n">
        <f aca="false">'Test Cases'!AO39</f>
        <v>2</v>
      </c>
      <c r="AK39" s="0" t="str">
        <f aca="false">'Test Cases'!AP39</f>
        <v>DELIVERY</v>
      </c>
      <c r="AL39" s="0" t="str">
        <f aca="false">'Test Cases'!AQ39</f>
        <v>LIVE</v>
      </c>
      <c r="AM39" s="0" t="str">
        <f aca="false">'Test Cases'!AR39</f>
        <v>Miami Distribution</v>
      </c>
      <c r="AN39" s="0" t="str">
        <f aca="false">'Test Cases'!AS39</f>
        <v>MIA-DC</v>
      </c>
      <c r="AO39" s="0" t="str">
        <f aca="false">'Test Cases'!AT39</f>
        <v>1900 NW 132nd Place</v>
      </c>
      <c r="AP39" s="0" t="str">
        <f aca="false">IF(ISBLANK('Test Cases'!AU39),"",'Test Cases'!AU39)</f>
        <v/>
      </c>
      <c r="AQ39" s="0" t="str">
        <f aca="false">'Test Cases'!AV39</f>
        <v>Doral</v>
      </c>
      <c r="AR39" s="0" t="str">
        <f aca="false">'Test Cases'!AW39</f>
        <v>FL</v>
      </c>
      <c r="AS39" s="0" t="str">
        <f aca="false">'Test Cases'!AX39</f>
        <v>33182</v>
      </c>
      <c r="AT39" s="0" t="str">
        <f aca="false">'Test Cases'!AY39</f>
        <v>US</v>
      </c>
      <c r="AU39" s="0" t="str">
        <f aca="false">'Test Cases'!AZ39</f>
        <v>APPOINTMENT</v>
      </c>
      <c r="AV39" s="0" t="str">
        <f aca="false">'Test Cases'!BA39</f>
        <v>2025-01-17T10:00:00Z</v>
      </c>
      <c r="AW39" s="0" t="str">
        <f aca="false">'Test Cases'!BB39</f>
        <v>2025-01-17T14:00:00Z</v>
      </c>
      <c r="AX39" s="0" t="str">
        <f aca="false">'Test Cases'!BC39</f>
        <v>2025-01-17T10:00:00Z</v>
      </c>
      <c r="AY39" s="0" t="str">
        <f aca="false">'Test Cases'!BD39</f>
        <v>2025-01-17T14:00:00Z</v>
      </c>
      <c r="AZ39" s="0" t="str">
        <f aca="false">'Test Cases'!BE39</f>
        <v>2025-01-17T10:00:00Z</v>
      </c>
      <c r="BA39" s="0" t="str">
        <f aca="false">'Test Cases'!BF39</f>
        <v>2025-01-17T10:30:00Z</v>
      </c>
      <c r="BB39" s="0" t="str">
        <f aca="false">IF(ISBLANK('Test Cases'!BG39),"",'Test Cases'!BG39)</f>
        <v/>
      </c>
    </row>
    <row r="40" customFormat="false" ht="15" hidden="false" customHeight="false" outlineLevel="0" collapsed="false">
      <c r="A40" s="0" t="str">
        <f aca="false">'Test Cases'!F40</f>
        <v>20251229-SHIP-039</v>
      </c>
      <c r="B40" s="0" t="str">
        <f aca="false">'Test Cases'!G40</f>
        <v>20251229-TNDR-039</v>
      </c>
      <c r="C40" s="0" t="str">
        <f aca="false">'Test Cases'!H40</f>
        <v>SHIPMENT</v>
      </c>
      <c r="D40" s="0" t="str">
        <f aca="false">'Test Cases'!I40</f>
        <v>COMPLETED</v>
      </c>
      <c r="E40" s="0" t="str">
        <f aca="false">'Test Cases'!J40</f>
        <v>SPOT</v>
      </c>
      <c r="F40" s="0" t="str">
        <f aca="false">'Test Cases'!K40</f>
        <v>TRUCKLOAD</v>
      </c>
      <c r="G40" s="0" t="str">
        <f aca="false">'Test Cases'!L40</f>
        <v>DRY_VAN</v>
      </c>
      <c r="H40" s="0" t="n">
        <f aca="false">'Test Cases'!M40</f>
        <v>500</v>
      </c>
      <c r="I40" s="0" t="str">
        <f aca="false">'Test Cases'!N40</f>
        <v>MILES</v>
      </c>
      <c r="J40" s="0" t="n">
        <f aca="false">'Test Cases'!O40</f>
        <v>40000</v>
      </c>
      <c r="K40" s="0" t="str">
        <f aca="false">'Test Cases'!P40</f>
        <v>LB</v>
      </c>
      <c r="L40" s="0" t="str">
        <f aca="false">'Test Cases'!Q40</f>
        <v>Test Carrier 1 Inc</v>
      </c>
      <c r="M40" s="0" t="str">
        <f aca="false">'Test Cases'!R40</f>
        <v>CAR1</v>
      </c>
      <c r="N40" s="0" t="str">
        <f aca="false">IF(ISBLANK('Test Cases'!S40),"",'Test Cases'!S40)</f>
        <v/>
      </c>
      <c r="O40" s="0" t="str">
        <f aca="false">IF(ISBLANK('Test Cases'!T40),"",'Test Cases'!T40)</f>
        <v/>
      </c>
      <c r="P40" s="0" t="str">
        <f aca="false">IF(ISBLANK('Test Cases'!U40),"",'Test Cases'!U40)</f>
        <v/>
      </c>
      <c r="Q40" s="0" t="n">
        <f aca="false">'Test Cases'!V40</f>
        <v>1</v>
      </c>
      <c r="R40" s="0" t="str">
        <f aca="false">'Test Cases'!W40</f>
        <v>PICKUP</v>
      </c>
      <c r="S40" s="0" t="str">
        <f aca="false">'Test Cases'!X40</f>
        <v>LIVE</v>
      </c>
      <c r="T40" s="0" t="str">
        <f aca="false">'Test Cases'!Y40</f>
        <v>Memphis Sort Center</v>
      </c>
      <c r="U40" s="0" t="str">
        <f aca="false">'Test Cases'!Z40</f>
        <v>MEM-SC</v>
      </c>
      <c r="V40" s="0" t="str">
        <f aca="false">'Test Cases'!AA40</f>
        <v>2777 Pilot Dr</v>
      </c>
      <c r="W40" s="0" t="str">
        <f aca="false">IF(ISBLANK('Test Cases'!AB40),"",'Test Cases'!AB40)</f>
        <v/>
      </c>
      <c r="X40" s="0" t="str">
        <f aca="false">'Test Cases'!AC40</f>
        <v>Memphis</v>
      </c>
      <c r="Y40" s="0" t="str">
        <f aca="false">'Test Cases'!AD40</f>
        <v>TN</v>
      </c>
      <c r="Z40" s="0" t="str">
        <f aca="false">'Test Cases'!AE40</f>
        <v>38118</v>
      </c>
      <c r="AA40" s="0" t="str">
        <f aca="false">'Test Cases'!AF40</f>
        <v>US</v>
      </c>
      <c r="AB40" s="0" t="str">
        <f aca="false">'Test Cases'!AG40</f>
        <v>APPOINTMENT</v>
      </c>
      <c r="AC40" s="0" t="str">
        <f aca="false">'Test Cases'!AH40</f>
        <v>2025-01-15T08:00:00Z</v>
      </c>
      <c r="AD40" s="0" t="str">
        <f aca="false">'Test Cases'!AI40</f>
        <v>2025-01-15T10:00:00Z</v>
      </c>
      <c r="AE40" s="0" t="str">
        <f aca="false">'Test Cases'!AJ40</f>
        <v>2025-01-15T08:00:00Z</v>
      </c>
      <c r="AF40" s="0" t="str">
        <f aca="false">'Test Cases'!AK40</f>
        <v>2025-01-15T10:00:00Z</v>
      </c>
      <c r="AG40" s="0" t="str">
        <f aca="false">'Test Cases'!AL40</f>
        <v>2025-01-15T08:00:00Z</v>
      </c>
      <c r="AH40" s="0" t="str">
        <f aca="false">'Test Cases'!AM40</f>
        <v>2025-01-15T08:30:00Z</v>
      </c>
      <c r="AI40" s="0" t="str">
        <f aca="false">IF(ISBLANK('Test Cases'!AN40),"",'Test Cases'!AN40)</f>
        <v/>
      </c>
      <c r="AJ40" s="0" t="n">
        <f aca="false">'Test Cases'!AO40</f>
        <v>2</v>
      </c>
      <c r="AK40" s="0" t="str">
        <f aca="false">'Test Cases'!AP40</f>
        <v>DELIVERY</v>
      </c>
      <c r="AL40" s="0" t="str">
        <f aca="false">'Test Cases'!AQ40</f>
        <v>LIVE</v>
      </c>
      <c r="AM40" s="0" t="str">
        <f aca="false">'Test Cases'!AR40</f>
        <v>Nashville Distribution</v>
      </c>
      <c r="AN40" s="0" t="str">
        <f aca="false">'Test Cases'!AS40</f>
        <v>BNA-DIST</v>
      </c>
      <c r="AO40" s="0" t="str">
        <f aca="false">'Test Cases'!AT40</f>
        <v>50 Airways Blvd</v>
      </c>
      <c r="AP40" s="0" t="str">
        <f aca="false">IF(ISBLANK('Test Cases'!AU40),"",'Test Cases'!AU40)</f>
        <v/>
      </c>
      <c r="AQ40" s="0" t="str">
        <f aca="false">'Test Cases'!AV40</f>
        <v>Nashville</v>
      </c>
      <c r="AR40" s="0" t="str">
        <f aca="false">'Test Cases'!AW40</f>
        <v>TN</v>
      </c>
      <c r="AS40" s="0" t="str">
        <f aca="false">'Test Cases'!AX40</f>
        <v>37217</v>
      </c>
      <c r="AT40" s="0" t="str">
        <f aca="false">'Test Cases'!AY40</f>
        <v>US</v>
      </c>
      <c r="AU40" s="0" t="str">
        <f aca="false">'Test Cases'!AZ40</f>
        <v>APPOINTMENT</v>
      </c>
      <c r="AV40" s="0" t="str">
        <f aca="false">'Test Cases'!BA40</f>
        <v>2025-01-17T10:00:00Z</v>
      </c>
      <c r="AW40" s="0" t="str">
        <f aca="false">'Test Cases'!BB40</f>
        <v>2025-01-17T14:00:00Z</v>
      </c>
      <c r="AX40" s="0" t="str">
        <f aca="false">'Test Cases'!BC40</f>
        <v>2025-01-17T10:00:00Z</v>
      </c>
      <c r="AY40" s="0" t="str">
        <f aca="false">'Test Cases'!BD40</f>
        <v>2025-01-17T14:00:00Z</v>
      </c>
      <c r="AZ40" s="0" t="str">
        <f aca="false">'Test Cases'!BE40</f>
        <v>2025-01-17T10:00:00Z</v>
      </c>
      <c r="BA40" s="0" t="str">
        <f aca="false">'Test Cases'!BF40</f>
        <v>2025-01-17T10:30:00Z</v>
      </c>
      <c r="BB40" s="0" t="str">
        <f aca="false">IF(ISBLANK('Test Cases'!BG40),"",'Test Cases'!BG40)</f>
        <v/>
      </c>
    </row>
    <row r="41" customFormat="false" ht="15" hidden="false" customHeight="false" outlineLevel="0" collapsed="false">
      <c r="A41" s="0" t="str">
        <f aca="false">'Test Cases'!F41</f>
        <v>20251229-SHIP-040</v>
      </c>
      <c r="B41" s="0" t="str">
        <f aca="false">'Test Cases'!G41</f>
        <v>20251229-TNDR-040</v>
      </c>
      <c r="C41" s="0" t="str">
        <f aca="false">'Test Cases'!H41</f>
        <v>SHIPMENT</v>
      </c>
      <c r="D41" s="0" t="str">
        <f aca="false">'Test Cases'!I41</f>
        <v>COMPLETED</v>
      </c>
      <c r="E41" s="0" t="str">
        <f aca="false">'Test Cases'!J41</f>
        <v>SPOT</v>
      </c>
      <c r="F41" s="0" t="str">
        <f aca="false">'Test Cases'!K41</f>
        <v>TRUCKLOAD</v>
      </c>
      <c r="G41" s="0" t="str">
        <f aca="false">'Test Cases'!L41</f>
        <v>DRY_VAN</v>
      </c>
      <c r="H41" s="0" t="n">
        <f aca="false">'Test Cases'!M41</f>
        <v>500</v>
      </c>
      <c r="I41" s="0" t="str">
        <f aca="false">'Test Cases'!N41</f>
        <v>MILES</v>
      </c>
      <c r="J41" s="0" t="n">
        <f aca="false">'Test Cases'!O41</f>
        <v>40000</v>
      </c>
      <c r="K41" s="0" t="str">
        <f aca="false">'Test Cases'!P41</f>
        <v>LB</v>
      </c>
      <c r="L41" s="0" t="str">
        <f aca="false">'Test Cases'!Q41</f>
        <v>Test Carrier 2 Inc</v>
      </c>
      <c r="M41" s="0" t="str">
        <f aca="false">'Test Cases'!R41</f>
        <v>CAR2</v>
      </c>
      <c r="N41" s="0" t="str">
        <f aca="false">IF(ISBLANK('Test Cases'!S41),"",'Test Cases'!S41)</f>
        <v/>
      </c>
      <c r="O41" s="0" t="str">
        <f aca="false">IF(ISBLANK('Test Cases'!T41),"",'Test Cases'!T41)</f>
        <v/>
      </c>
      <c r="P41" s="0" t="str">
        <f aca="false">IF(ISBLANK('Test Cases'!U41),"",'Test Cases'!U41)</f>
        <v/>
      </c>
      <c r="Q41" s="0" t="n">
        <f aca="false">'Test Cases'!V41</f>
        <v>1</v>
      </c>
      <c r="R41" s="0" t="str">
        <f aca="false">'Test Cases'!W41</f>
        <v>PICKUP</v>
      </c>
      <c r="S41" s="0" t="str">
        <f aca="false">'Test Cases'!X41</f>
        <v>LIVE</v>
      </c>
      <c r="T41" s="0" t="str">
        <f aca="false">'Test Cases'!Y41</f>
        <v>My Custom Name</v>
      </c>
      <c r="U41" s="0" t="str">
        <f aca="false">'Test Cases'!Z41</f>
        <v>CUST-001</v>
      </c>
      <c r="V41" s="0" t="str">
        <f aca="false">'Test Cases'!AA41</f>
        <v>4100 Wendell Dr SW</v>
      </c>
      <c r="W41" s="0" t="str">
        <f aca="false">IF(ISBLANK('Test Cases'!AB41),"",'Test Cases'!AB41)</f>
        <v>Building C</v>
      </c>
      <c r="X41" s="0" t="str">
        <f aca="false">'Test Cases'!AC41</f>
        <v>Atlanta</v>
      </c>
      <c r="Y41" s="0" t="str">
        <f aca="false">'Test Cases'!AD41</f>
        <v>GA</v>
      </c>
      <c r="Z41" s="0" t="str">
        <f aca="false">'Test Cases'!AE41</f>
        <v>30336</v>
      </c>
      <c r="AA41" s="0" t="str">
        <f aca="false">'Test Cases'!AF41</f>
        <v>US</v>
      </c>
      <c r="AB41" s="0" t="str">
        <f aca="false">'Test Cases'!AG41</f>
        <v>APPOINTMENT</v>
      </c>
      <c r="AC41" s="0" t="str">
        <f aca="false">'Test Cases'!AH41</f>
        <v>2025-01-15T08:00:00Z</v>
      </c>
      <c r="AD41" s="0" t="str">
        <f aca="false">'Test Cases'!AI41</f>
        <v>2025-01-15T10:00:00Z</v>
      </c>
      <c r="AE41" s="0" t="str">
        <f aca="false">'Test Cases'!AJ41</f>
        <v>2025-01-15T08:00:00Z</v>
      </c>
      <c r="AF41" s="0" t="str">
        <f aca="false">'Test Cases'!AK41</f>
        <v>2025-01-15T10:00:00Z</v>
      </c>
      <c r="AG41" s="0" t="str">
        <f aca="false">'Test Cases'!AL41</f>
        <v>2025-01-15T08:00:00Z</v>
      </c>
      <c r="AH41" s="0" t="str">
        <f aca="false">'Test Cases'!AM41</f>
        <v>2025-01-15T08:30:00Z</v>
      </c>
      <c r="AI41" s="0" t="str">
        <f aca="false">IF(ISBLANK('Test Cases'!AN41),"",'Test Cases'!AN41)</f>
        <v/>
      </c>
      <c r="AJ41" s="0" t="n">
        <f aca="false">'Test Cases'!AO41</f>
        <v>2</v>
      </c>
      <c r="AK41" s="0" t="str">
        <f aca="false">'Test Cases'!AP41</f>
        <v>DELIVERY</v>
      </c>
      <c r="AL41" s="0" t="str">
        <f aca="false">'Test Cases'!AQ41</f>
        <v>LIVE</v>
      </c>
      <c r="AM41" s="0" t="str">
        <f aca="false">'Test Cases'!AR41</f>
        <v>Client Warehouse</v>
      </c>
      <c r="AN41" s="0" t="str">
        <f aca="false">'Test Cases'!AS41</f>
        <v>CL-WH-99</v>
      </c>
      <c r="AO41" s="0" t="str">
        <f aca="false">'Test Cases'!AT41</f>
        <v>8250 N Stemmons Fwy</v>
      </c>
      <c r="AP41" s="0" t="str">
        <f aca="false">IF(ISBLANK('Test Cases'!AU41),"",'Test Cases'!AU41)</f>
        <v>Suite 100</v>
      </c>
      <c r="AQ41" s="0" t="str">
        <f aca="false">'Test Cases'!AV41</f>
        <v>Dallas</v>
      </c>
      <c r="AR41" s="0" t="str">
        <f aca="false">'Test Cases'!AW41</f>
        <v>TX</v>
      </c>
      <c r="AS41" s="0" t="str">
        <f aca="false">'Test Cases'!AX41</f>
        <v>75247</v>
      </c>
      <c r="AT41" s="0" t="str">
        <f aca="false">'Test Cases'!AY41</f>
        <v>US</v>
      </c>
      <c r="AU41" s="0" t="str">
        <f aca="false">'Test Cases'!AZ41</f>
        <v>APPOINTMENT</v>
      </c>
      <c r="AV41" s="0" t="str">
        <f aca="false">'Test Cases'!BA41</f>
        <v>2025-01-17T10:00:00Z</v>
      </c>
      <c r="AW41" s="0" t="str">
        <f aca="false">'Test Cases'!BB41</f>
        <v>2025-01-17T14:00:00Z</v>
      </c>
      <c r="AX41" s="0" t="str">
        <f aca="false">'Test Cases'!BC41</f>
        <v>2025-01-17T10:00:00Z</v>
      </c>
      <c r="AY41" s="0" t="str">
        <f aca="false">'Test Cases'!BD41</f>
        <v>2025-01-17T14:00:00Z</v>
      </c>
      <c r="AZ41" s="0" t="str">
        <f aca="false">'Test Cases'!BE41</f>
        <v>2025-01-17T10:00:00Z</v>
      </c>
      <c r="BA41" s="0" t="str">
        <f aca="false">'Test Cases'!BF41</f>
        <v>2025-01-17T10:30:00Z</v>
      </c>
      <c r="BB41" s="0" t="str">
        <f aca="false">IF(ISBLANK('Test Cases'!BG41),"",'Test Cases'!BG41)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2025-12-29T18:56:08Z</dcterms:created>
  <dc:creator>openpyxl</dc:creator>
  <dc:description/>
  <dc:language>en-US</dc:language>
  <cp:lastModifiedBy/>
  <dcterms:modified xsi:type="dcterms:W3CDTF">2025-12-29T18:56:08Z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